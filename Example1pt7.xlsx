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026C0806-CDD8-45DD-9D5A-6C182CABDED9}" xr6:coauthVersionLast="47" xr6:coauthVersionMax="47" xr10:uidLastSave="{00000000-0000-0000-0000-000000000000}"/>
  <bookViews>
    <workbookView xWindow="-110" yWindow="-110" windowWidth="19420" windowHeight="10300" activeTab="1" xr2:uid="{7E7E0286-B37B-4B33-BE8D-BE5B9CEF4A6B}"/>
  </bookViews>
  <sheets>
    <sheet name="Data" sheetId="1" r:id="rId1"/>
    <sheet name="Calcula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2" l="1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11" i="2"/>
  <c r="C13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12" i="2"/>
  <c r="H12" i="1"/>
  <c r="H13" i="1"/>
  <c r="H14" i="1"/>
  <c r="H15" i="1"/>
  <c r="K15" i="1" s="1"/>
  <c r="H16" i="1"/>
  <c r="K16" i="1" s="1"/>
  <c r="H17" i="1"/>
  <c r="K17" i="1" s="1"/>
  <c r="L17" i="1" s="1"/>
  <c r="M17" i="1" s="1"/>
  <c r="H18" i="1"/>
  <c r="K18" i="1" s="1"/>
  <c r="N18" i="1" s="1"/>
  <c r="H19" i="1"/>
  <c r="K19" i="1" s="1"/>
  <c r="H20" i="1"/>
  <c r="K20" i="1" s="1"/>
  <c r="H21" i="1"/>
  <c r="K21" i="1" s="1"/>
  <c r="H22" i="1"/>
  <c r="K22" i="1" s="1"/>
  <c r="L22" i="1" s="1"/>
  <c r="M22" i="1" s="1"/>
  <c r="H23" i="1"/>
  <c r="K23" i="1" s="1"/>
  <c r="L23" i="1" s="1"/>
  <c r="M23" i="1" s="1"/>
  <c r="H24" i="1"/>
  <c r="H25" i="1"/>
  <c r="H26" i="1"/>
  <c r="H27" i="1"/>
  <c r="H28" i="1"/>
  <c r="H29" i="1"/>
  <c r="H30" i="1"/>
  <c r="K30" i="1" s="1"/>
  <c r="L30" i="1" s="1"/>
  <c r="M30" i="1" s="1"/>
  <c r="H31" i="1"/>
  <c r="H32" i="1"/>
  <c r="H33" i="1"/>
  <c r="H34" i="1"/>
  <c r="K34" i="1" s="1"/>
  <c r="H35" i="1"/>
  <c r="K35" i="1" s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K51" i="1" s="1"/>
  <c r="H52" i="1"/>
  <c r="K52" i="1" s="1"/>
  <c r="H53" i="1"/>
  <c r="K53" i="1" s="1"/>
  <c r="H54" i="1"/>
  <c r="K54" i="1" s="1"/>
  <c r="L54" i="1" s="1"/>
  <c r="M54" i="1" s="1"/>
  <c r="H55" i="1"/>
  <c r="K55" i="1" s="1"/>
  <c r="N55" i="1" s="1"/>
  <c r="H56" i="1"/>
  <c r="K56" i="1" s="1"/>
  <c r="H57" i="1"/>
  <c r="K57" i="1" s="1"/>
  <c r="H58" i="1"/>
  <c r="K58" i="1" s="1"/>
  <c r="H59" i="1"/>
  <c r="K59" i="1" s="1"/>
  <c r="H60" i="1"/>
  <c r="H61" i="1"/>
  <c r="H62" i="1"/>
  <c r="H63" i="1"/>
  <c r="H64" i="1"/>
  <c r="H65" i="1"/>
  <c r="H66" i="1"/>
  <c r="H67" i="1"/>
  <c r="K67" i="1" s="1"/>
  <c r="H68" i="1"/>
  <c r="K68" i="1" s="1"/>
  <c r="H69" i="1"/>
  <c r="K69" i="1" s="1"/>
  <c r="H70" i="1"/>
  <c r="K70" i="1" s="1"/>
  <c r="H11" i="1"/>
  <c r="K27" i="1"/>
  <c r="K28" i="1"/>
  <c r="K29" i="1"/>
  <c r="L29" i="1" s="1"/>
  <c r="M29" i="1" s="1"/>
  <c r="K39" i="1"/>
  <c r="K40" i="1"/>
  <c r="K41" i="1"/>
  <c r="L41" i="1" s="1"/>
  <c r="M41" i="1" s="1"/>
  <c r="K42" i="1"/>
  <c r="K43" i="1"/>
  <c r="K44" i="1"/>
  <c r="L44" i="1" s="1"/>
  <c r="M44" i="1" s="1"/>
  <c r="K45" i="1"/>
  <c r="K46" i="1"/>
  <c r="K47" i="1"/>
  <c r="K63" i="1"/>
  <c r="K64" i="1"/>
  <c r="K65" i="1"/>
  <c r="L65" i="1" s="1"/>
  <c r="M65" i="1" s="1"/>
  <c r="K66" i="1"/>
  <c r="L66" i="1" s="1"/>
  <c r="M66" i="1" s="1"/>
  <c r="P11" i="2"/>
  <c r="Q11" i="2"/>
  <c r="F11" i="2"/>
  <c r="I11" i="2" s="1"/>
  <c r="M11" i="2"/>
  <c r="H11" i="2"/>
  <c r="G11" i="2"/>
  <c r="E11" i="2"/>
  <c r="B9" i="2"/>
  <c r="A9" i="2"/>
  <c r="A2" i="2"/>
  <c r="B2" i="2"/>
  <c r="C2" i="2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C1" i="2"/>
  <c r="B1" i="2"/>
  <c r="A1" i="2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11" i="1"/>
  <c r="Q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N44" i="1"/>
  <c r="L12" i="1"/>
  <c r="M12" i="1" s="1"/>
  <c r="O12" i="1" s="1"/>
  <c r="P12" i="1" s="1"/>
  <c r="Y12" i="1" s="1"/>
  <c r="L13" i="1"/>
  <c r="M13" i="1" s="1"/>
  <c r="O13" i="1" s="1"/>
  <c r="P13" i="1" s="1"/>
  <c r="Y13" i="1" s="1"/>
  <c r="L24" i="1"/>
  <c r="M24" i="1" s="1"/>
  <c r="O24" i="1" s="1"/>
  <c r="P24" i="1" s="1"/>
  <c r="Y24" i="1" s="1"/>
  <c r="L25" i="1"/>
  <c r="M25" i="1" s="1"/>
  <c r="O25" i="1" s="1"/>
  <c r="P25" i="1" s="1"/>
  <c r="Y25" i="1" s="1"/>
  <c r="L36" i="1"/>
  <c r="M36" i="1" s="1"/>
  <c r="O36" i="1" s="1"/>
  <c r="P36" i="1" s="1"/>
  <c r="Y36" i="1" s="1"/>
  <c r="L37" i="1"/>
  <c r="M37" i="1" s="1"/>
  <c r="O37" i="1" s="1"/>
  <c r="P37" i="1" s="1"/>
  <c r="Y37" i="1" s="1"/>
  <c r="K12" i="1"/>
  <c r="N12" i="1" s="1"/>
  <c r="K13" i="1"/>
  <c r="N13" i="1" s="1"/>
  <c r="K14" i="1"/>
  <c r="K24" i="1"/>
  <c r="N24" i="1" s="1"/>
  <c r="K25" i="1"/>
  <c r="N25" i="1" s="1"/>
  <c r="K26" i="1"/>
  <c r="K31" i="1"/>
  <c r="L31" i="1" s="1"/>
  <c r="M31" i="1" s="1"/>
  <c r="K32" i="1"/>
  <c r="N32" i="1" s="1"/>
  <c r="K33" i="1"/>
  <c r="L33" i="1" s="1"/>
  <c r="M33" i="1" s="1"/>
  <c r="K36" i="1"/>
  <c r="N36" i="1" s="1"/>
  <c r="K37" i="1"/>
  <c r="N37" i="1" s="1"/>
  <c r="K38" i="1"/>
  <c r="K48" i="1"/>
  <c r="N48" i="1" s="1"/>
  <c r="K49" i="1"/>
  <c r="N49" i="1" s="1"/>
  <c r="K50" i="1"/>
  <c r="K60" i="1"/>
  <c r="N60" i="1" s="1"/>
  <c r="K61" i="1"/>
  <c r="K62" i="1"/>
  <c r="K11" i="1"/>
  <c r="N11" i="1" s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11" i="1"/>
  <c r="G2" i="1"/>
  <c r="E16" i="1"/>
  <c r="E12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11" i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B3" i="1"/>
  <c r="B2" i="1"/>
  <c r="H12" i="2" l="1"/>
  <c r="G12" i="2"/>
  <c r="E12" i="2"/>
  <c r="P12" i="2" s="1"/>
  <c r="M12" i="2"/>
  <c r="Q12" i="2"/>
  <c r="F12" i="2"/>
  <c r="J11" i="2"/>
  <c r="K11" i="2" s="1"/>
  <c r="N11" i="2" s="1"/>
  <c r="O11" i="2" s="1"/>
  <c r="S11" i="2" s="1"/>
  <c r="L11" i="2"/>
  <c r="N58" i="1"/>
  <c r="L58" i="1"/>
  <c r="M58" i="1" s="1"/>
  <c r="N57" i="1"/>
  <c r="L57" i="1"/>
  <c r="M57" i="1" s="1"/>
  <c r="O57" i="1" s="1"/>
  <c r="P57" i="1" s="1"/>
  <c r="Y57" i="1" s="1"/>
  <c r="N56" i="1"/>
  <c r="L56" i="1"/>
  <c r="M56" i="1" s="1"/>
  <c r="O56" i="1" s="1"/>
  <c r="P56" i="1" s="1"/>
  <c r="Y56" i="1" s="1"/>
  <c r="L53" i="1"/>
  <c r="M53" i="1" s="1"/>
  <c r="N53" i="1"/>
  <c r="N29" i="1"/>
  <c r="O29" i="1" s="1"/>
  <c r="P29" i="1" s="1"/>
  <c r="Y29" i="1" s="1"/>
  <c r="O44" i="1"/>
  <c r="P44" i="1" s="1"/>
  <c r="Y44" i="1" s="1"/>
  <c r="N35" i="1"/>
  <c r="L35" i="1"/>
  <c r="M35" i="1" s="1"/>
  <c r="L70" i="1"/>
  <c r="M70" i="1" s="1"/>
  <c r="N70" i="1"/>
  <c r="N34" i="1"/>
  <c r="L34" i="1"/>
  <c r="M34" i="1" s="1"/>
  <c r="O34" i="1" s="1"/>
  <c r="P34" i="1" s="1"/>
  <c r="Y34" i="1" s="1"/>
  <c r="L69" i="1"/>
  <c r="M69" i="1" s="1"/>
  <c r="N69" i="1"/>
  <c r="L67" i="1"/>
  <c r="M67" i="1" s="1"/>
  <c r="N67" i="1"/>
  <c r="O31" i="1"/>
  <c r="P31" i="1" s="1"/>
  <c r="Y31" i="1" s="1"/>
  <c r="L68" i="1"/>
  <c r="M68" i="1" s="1"/>
  <c r="N68" i="1"/>
  <c r="L47" i="1"/>
  <c r="M47" i="1" s="1"/>
  <c r="N47" i="1"/>
  <c r="L46" i="1"/>
  <c r="M46" i="1" s="1"/>
  <c r="N46" i="1"/>
  <c r="L45" i="1"/>
  <c r="M45" i="1" s="1"/>
  <c r="N45" i="1"/>
  <c r="O33" i="1"/>
  <c r="P33" i="1" s="1"/>
  <c r="Y33" i="1" s="1"/>
  <c r="N19" i="1"/>
  <c r="L19" i="1"/>
  <c r="M19" i="1" s="1"/>
  <c r="O19" i="1" s="1"/>
  <c r="P19" i="1" s="1"/>
  <c r="Y19" i="1" s="1"/>
  <c r="L32" i="1"/>
  <c r="M32" i="1" s="1"/>
  <c r="O32" i="1" s="1"/>
  <c r="P32" i="1" s="1"/>
  <c r="Y32" i="1" s="1"/>
  <c r="L20" i="1"/>
  <c r="M20" i="1" s="1"/>
  <c r="N20" i="1"/>
  <c r="L55" i="1"/>
  <c r="M55" i="1" s="1"/>
  <c r="O55" i="1" s="1"/>
  <c r="P55" i="1" s="1"/>
  <c r="Y55" i="1" s="1"/>
  <c r="N33" i="1"/>
  <c r="L49" i="1"/>
  <c r="M49" i="1" s="1"/>
  <c r="O49" i="1" s="1"/>
  <c r="P49" i="1" s="1"/>
  <c r="Y49" i="1" s="1"/>
  <c r="L42" i="1"/>
  <c r="M42" i="1" s="1"/>
  <c r="N42" i="1"/>
  <c r="L48" i="1"/>
  <c r="M48" i="1" s="1"/>
  <c r="O48" i="1" s="1"/>
  <c r="P48" i="1" s="1"/>
  <c r="Y48" i="1" s="1"/>
  <c r="L18" i="1"/>
  <c r="M18" i="1" s="1"/>
  <c r="O18" i="1" s="1"/>
  <c r="P18" i="1" s="1"/>
  <c r="Y18" i="1" s="1"/>
  <c r="N31" i="1"/>
  <c r="O41" i="1"/>
  <c r="P41" i="1" s="1"/>
  <c r="Y41" i="1" s="1"/>
  <c r="L14" i="1"/>
  <c r="M14" i="1" s="1"/>
  <c r="N14" i="1"/>
  <c r="N30" i="1"/>
  <c r="O30" i="1" s="1"/>
  <c r="P30" i="1" s="1"/>
  <c r="Y30" i="1" s="1"/>
  <c r="N66" i="1"/>
  <c r="O66" i="1" s="1"/>
  <c r="P66" i="1" s="1"/>
  <c r="Y66" i="1" s="1"/>
  <c r="L62" i="1"/>
  <c r="M62" i="1" s="1"/>
  <c r="N62" i="1"/>
  <c r="N23" i="1"/>
  <c r="N61" i="1"/>
  <c r="L61" i="1"/>
  <c r="M61" i="1" s="1"/>
  <c r="O61" i="1" s="1"/>
  <c r="P61" i="1" s="1"/>
  <c r="Y61" i="1" s="1"/>
  <c r="N54" i="1"/>
  <c r="O54" i="1" s="1"/>
  <c r="P54" i="1" s="1"/>
  <c r="Y54" i="1" s="1"/>
  <c r="N22" i="1"/>
  <c r="O22" i="1" s="1"/>
  <c r="P22" i="1" s="1"/>
  <c r="Y22" i="1" s="1"/>
  <c r="L59" i="1"/>
  <c r="M59" i="1" s="1"/>
  <c r="N59" i="1"/>
  <c r="O23" i="1"/>
  <c r="P23" i="1" s="1"/>
  <c r="Y23" i="1" s="1"/>
  <c r="L50" i="1"/>
  <c r="M50" i="1" s="1"/>
  <c r="O50" i="1" s="1"/>
  <c r="P50" i="1" s="1"/>
  <c r="Y50" i="1" s="1"/>
  <c r="N50" i="1"/>
  <c r="L21" i="1"/>
  <c r="M21" i="1" s="1"/>
  <c r="N21" i="1"/>
  <c r="L26" i="1"/>
  <c r="M26" i="1" s="1"/>
  <c r="N26" i="1"/>
  <c r="L43" i="1"/>
  <c r="M43" i="1" s="1"/>
  <c r="N43" i="1"/>
  <c r="N65" i="1"/>
  <c r="O65" i="1" s="1"/>
  <c r="P65" i="1" s="1"/>
  <c r="Y65" i="1" s="1"/>
  <c r="N64" i="1"/>
  <c r="L64" i="1"/>
  <c r="M64" i="1" s="1"/>
  <c r="O64" i="1" s="1"/>
  <c r="P64" i="1" s="1"/>
  <c r="Y64" i="1" s="1"/>
  <c r="L52" i="1"/>
  <c r="M52" i="1" s="1"/>
  <c r="N52" i="1"/>
  <c r="N40" i="1"/>
  <c r="L40" i="1"/>
  <c r="M40" i="1" s="1"/>
  <c r="O40" i="1" s="1"/>
  <c r="P40" i="1" s="1"/>
  <c r="Y40" i="1" s="1"/>
  <c r="N16" i="1"/>
  <c r="L16" i="1"/>
  <c r="M16" i="1" s="1"/>
  <c r="O16" i="1" s="1"/>
  <c r="P16" i="1" s="1"/>
  <c r="Y16" i="1" s="1"/>
  <c r="L63" i="1"/>
  <c r="M63" i="1" s="1"/>
  <c r="N63" i="1"/>
  <c r="N51" i="1"/>
  <c r="L51" i="1"/>
  <c r="M51" i="1" s="1"/>
  <c r="L39" i="1"/>
  <c r="M39" i="1" s="1"/>
  <c r="N39" i="1"/>
  <c r="N27" i="1"/>
  <c r="L27" i="1"/>
  <c r="M27" i="1" s="1"/>
  <c r="L15" i="1"/>
  <c r="M15" i="1" s="1"/>
  <c r="N15" i="1"/>
  <c r="L38" i="1"/>
  <c r="M38" i="1" s="1"/>
  <c r="N38" i="1"/>
  <c r="N41" i="1"/>
  <c r="L60" i="1"/>
  <c r="M60" i="1" s="1"/>
  <c r="O60" i="1" s="1"/>
  <c r="P60" i="1" s="1"/>
  <c r="Y60" i="1" s="1"/>
  <c r="L28" i="1"/>
  <c r="M28" i="1" s="1"/>
  <c r="N28" i="1"/>
  <c r="N17" i="1"/>
  <c r="O17" i="1" s="1"/>
  <c r="P17" i="1" s="1"/>
  <c r="Y17" i="1" s="1"/>
  <c r="L11" i="1"/>
  <c r="M11" i="1" s="1"/>
  <c r="O11" i="1" s="1"/>
  <c r="P11" i="1" s="1"/>
  <c r="Y11" i="1" s="1"/>
  <c r="I12" i="2" l="1"/>
  <c r="L12" i="2" s="1"/>
  <c r="R12" i="2"/>
  <c r="H13" i="2"/>
  <c r="G13" i="2"/>
  <c r="E13" i="2"/>
  <c r="P13" i="2" s="1"/>
  <c r="Q13" i="2"/>
  <c r="F13" i="2"/>
  <c r="I13" i="2" s="1"/>
  <c r="M13" i="2"/>
  <c r="O59" i="1"/>
  <c r="P59" i="1" s="1"/>
  <c r="Y59" i="1" s="1"/>
  <c r="O28" i="1"/>
  <c r="P28" i="1" s="1"/>
  <c r="Y28" i="1" s="1"/>
  <c r="O53" i="1"/>
  <c r="P53" i="1" s="1"/>
  <c r="Y53" i="1" s="1"/>
  <c r="O58" i="1"/>
  <c r="P58" i="1" s="1"/>
  <c r="Y58" i="1" s="1"/>
  <c r="O27" i="1"/>
  <c r="P27" i="1" s="1"/>
  <c r="Y27" i="1" s="1"/>
  <c r="O35" i="1"/>
  <c r="P35" i="1" s="1"/>
  <c r="Y35" i="1" s="1"/>
  <c r="O63" i="1"/>
  <c r="P63" i="1" s="1"/>
  <c r="Y63" i="1" s="1"/>
  <c r="O43" i="1"/>
  <c r="P43" i="1" s="1"/>
  <c r="Y43" i="1" s="1"/>
  <c r="O67" i="1"/>
  <c r="P67" i="1" s="1"/>
  <c r="Y67" i="1" s="1"/>
  <c r="O38" i="1"/>
  <c r="P38" i="1" s="1"/>
  <c r="Y38" i="1" s="1"/>
  <c r="O45" i="1"/>
  <c r="P45" i="1" s="1"/>
  <c r="Y45" i="1" s="1"/>
  <c r="O69" i="1"/>
  <c r="P69" i="1" s="1"/>
  <c r="Y69" i="1" s="1"/>
  <c r="O26" i="1"/>
  <c r="P26" i="1" s="1"/>
  <c r="Y26" i="1" s="1"/>
  <c r="O42" i="1"/>
  <c r="P42" i="1" s="1"/>
  <c r="Y42" i="1" s="1"/>
  <c r="O15" i="1"/>
  <c r="P15" i="1" s="1"/>
  <c r="Y15" i="1" s="1"/>
  <c r="O46" i="1"/>
  <c r="P46" i="1" s="1"/>
  <c r="Y46" i="1" s="1"/>
  <c r="O21" i="1"/>
  <c r="P21" i="1" s="1"/>
  <c r="Y21" i="1" s="1"/>
  <c r="O62" i="1"/>
  <c r="P62" i="1" s="1"/>
  <c r="Y62" i="1" s="1"/>
  <c r="O52" i="1"/>
  <c r="P52" i="1" s="1"/>
  <c r="Y52" i="1" s="1"/>
  <c r="O47" i="1"/>
  <c r="P47" i="1" s="1"/>
  <c r="Y47" i="1" s="1"/>
  <c r="O70" i="1"/>
  <c r="P70" i="1" s="1"/>
  <c r="Y70" i="1" s="1"/>
  <c r="O39" i="1"/>
  <c r="P39" i="1" s="1"/>
  <c r="Y39" i="1" s="1"/>
  <c r="O20" i="1"/>
  <c r="P20" i="1" s="1"/>
  <c r="Y20" i="1" s="1"/>
  <c r="O68" i="1"/>
  <c r="P68" i="1" s="1"/>
  <c r="Y68" i="1" s="1"/>
  <c r="O51" i="1"/>
  <c r="P51" i="1" s="1"/>
  <c r="Y51" i="1" s="1"/>
  <c r="O14" i="1"/>
  <c r="P14" i="1" s="1"/>
  <c r="Y14" i="1" s="1"/>
  <c r="AB9" i="1" s="1"/>
  <c r="J12" i="2" l="1"/>
  <c r="K12" i="2" s="1"/>
  <c r="N12" i="2" s="1"/>
  <c r="O12" i="2" s="1"/>
  <c r="S12" i="2" s="1"/>
  <c r="J13" i="2"/>
  <c r="K13" i="2" s="1"/>
  <c r="L13" i="2"/>
  <c r="R13" i="2"/>
  <c r="F14" i="2"/>
  <c r="Q14" i="2"/>
  <c r="M14" i="2"/>
  <c r="E14" i="2"/>
  <c r="P14" i="2" s="1"/>
  <c r="R14" i="2" s="1"/>
  <c r="G14" i="2"/>
  <c r="H14" i="2"/>
  <c r="I14" i="2" l="1"/>
  <c r="F15" i="2"/>
  <c r="Q15" i="2"/>
  <c r="M15" i="2"/>
  <c r="E15" i="2"/>
  <c r="P15" i="2" s="1"/>
  <c r="R15" i="2" s="1"/>
  <c r="G15" i="2"/>
  <c r="H15" i="2"/>
  <c r="N13" i="2"/>
  <c r="O13" i="2" s="1"/>
  <c r="S13" i="2" s="1"/>
  <c r="I15" i="2" l="1"/>
  <c r="F16" i="2"/>
  <c r="I16" i="2" s="1"/>
  <c r="Q16" i="2"/>
  <c r="H16" i="2"/>
  <c r="G16" i="2"/>
  <c r="E16" i="2"/>
  <c r="P16" i="2" s="1"/>
  <c r="R16" i="2" s="1"/>
  <c r="M16" i="2"/>
  <c r="L14" i="2"/>
  <c r="J14" i="2"/>
  <c r="K14" i="2" s="1"/>
  <c r="N14" i="2" s="1"/>
  <c r="O14" i="2" s="1"/>
  <c r="S14" i="2" s="1"/>
  <c r="J16" i="2" l="1"/>
  <c r="K16" i="2" s="1"/>
  <c r="L16" i="2"/>
  <c r="F17" i="2"/>
  <c r="Q17" i="2"/>
  <c r="H17" i="2"/>
  <c r="G17" i="2"/>
  <c r="M17" i="2"/>
  <c r="E17" i="2"/>
  <c r="P17" i="2" s="1"/>
  <c r="R17" i="2" s="1"/>
  <c r="L15" i="2"/>
  <c r="J15" i="2"/>
  <c r="K15" i="2" s="1"/>
  <c r="N15" i="2" s="1"/>
  <c r="O15" i="2" s="1"/>
  <c r="S15" i="2" s="1"/>
  <c r="N16" i="2" l="1"/>
  <c r="O16" i="2" s="1"/>
  <c r="S16" i="2" s="1"/>
  <c r="I17" i="2"/>
  <c r="E18" i="2"/>
  <c r="P18" i="2" s="1"/>
  <c r="M18" i="2"/>
  <c r="Q18" i="2"/>
  <c r="G18" i="2"/>
  <c r="F18" i="2"/>
  <c r="H18" i="2"/>
  <c r="F19" i="2" l="1"/>
  <c r="Q19" i="2"/>
  <c r="E19" i="2"/>
  <c r="P19" i="2" s="1"/>
  <c r="R19" i="2" s="1"/>
  <c r="M19" i="2"/>
  <c r="G19" i="2"/>
  <c r="H19" i="2"/>
  <c r="J17" i="2"/>
  <c r="K17" i="2" s="1"/>
  <c r="L17" i="2"/>
  <c r="I18" i="2"/>
  <c r="R18" i="2"/>
  <c r="N17" i="2" l="1"/>
  <c r="O17" i="2" s="1"/>
  <c r="S17" i="2" s="1"/>
  <c r="I19" i="2"/>
  <c r="J19" i="2"/>
  <c r="K19" i="2" s="1"/>
  <c r="L19" i="2"/>
  <c r="F20" i="2"/>
  <c r="Q20" i="2"/>
  <c r="M20" i="2"/>
  <c r="H20" i="2"/>
  <c r="E20" i="2"/>
  <c r="P20" i="2" s="1"/>
  <c r="R20" i="2" s="1"/>
  <c r="G20" i="2"/>
  <c r="J18" i="2"/>
  <c r="K18" i="2" s="1"/>
  <c r="L18" i="2"/>
  <c r="N19" i="2" l="1"/>
  <c r="O19" i="2" s="1"/>
  <c r="S19" i="2" s="1"/>
  <c r="N18" i="2"/>
  <c r="O18" i="2" s="1"/>
  <c r="S18" i="2" s="1"/>
  <c r="I20" i="2"/>
  <c r="M21" i="2"/>
  <c r="H21" i="2"/>
  <c r="G21" i="2"/>
  <c r="E21" i="2"/>
  <c r="P21" i="2" s="1"/>
  <c r="Q21" i="2"/>
  <c r="F21" i="2"/>
  <c r="I21" i="2" s="1"/>
  <c r="J21" i="2" l="1"/>
  <c r="K21" i="2" s="1"/>
  <c r="L21" i="2"/>
  <c r="R21" i="2"/>
  <c r="M22" i="2"/>
  <c r="F22" i="2"/>
  <c r="H22" i="2"/>
  <c r="G22" i="2"/>
  <c r="E22" i="2"/>
  <c r="P22" i="2" s="1"/>
  <c r="Q22" i="2"/>
  <c r="J20" i="2"/>
  <c r="K20" i="2" s="1"/>
  <c r="L20" i="2"/>
  <c r="I22" i="2" l="1"/>
  <c r="L22" i="2" s="1"/>
  <c r="N20" i="2"/>
  <c r="O20" i="2" s="1"/>
  <c r="S20" i="2" s="1"/>
  <c r="H23" i="2"/>
  <c r="G23" i="2"/>
  <c r="E23" i="2"/>
  <c r="P23" i="2" s="1"/>
  <c r="M23" i="2"/>
  <c r="F23" i="2"/>
  <c r="I23" i="2" s="1"/>
  <c r="Q23" i="2"/>
  <c r="R22" i="2"/>
  <c r="N21" i="2"/>
  <c r="O21" i="2" s="1"/>
  <c r="S21" i="2" s="1"/>
  <c r="J22" i="2" l="1"/>
  <c r="K22" i="2" s="1"/>
  <c r="N22" i="2" s="1"/>
  <c r="O22" i="2" s="1"/>
  <c r="J23" i="2"/>
  <c r="K23" i="2" s="1"/>
  <c r="L23" i="2"/>
  <c r="N23" i="2" s="1"/>
  <c r="O23" i="2" s="1"/>
  <c r="R23" i="2"/>
  <c r="H24" i="2"/>
  <c r="G24" i="2"/>
  <c r="E24" i="2"/>
  <c r="P24" i="2" s="1"/>
  <c r="M24" i="2"/>
  <c r="F24" i="2"/>
  <c r="I24" i="2" s="1"/>
  <c r="Q24" i="2"/>
  <c r="S22" i="2"/>
  <c r="J24" i="2" l="1"/>
  <c r="K24" i="2" s="1"/>
  <c r="L24" i="2"/>
  <c r="H25" i="2"/>
  <c r="G25" i="2"/>
  <c r="E25" i="2"/>
  <c r="P25" i="2" s="1"/>
  <c r="F25" i="2"/>
  <c r="I25" i="2" s="1"/>
  <c r="M25" i="2"/>
  <c r="Q25" i="2"/>
  <c r="R24" i="2"/>
  <c r="S23" i="2"/>
  <c r="R25" i="2" l="1"/>
  <c r="J25" i="2"/>
  <c r="K25" i="2" s="1"/>
  <c r="L25" i="2"/>
  <c r="F26" i="2"/>
  <c r="Q26" i="2"/>
  <c r="M26" i="2"/>
  <c r="H26" i="2"/>
  <c r="G26" i="2"/>
  <c r="E26" i="2"/>
  <c r="P26" i="2" s="1"/>
  <c r="N24" i="2"/>
  <c r="O24" i="2" s="1"/>
  <c r="S24" i="2" s="1"/>
  <c r="N25" i="2" l="1"/>
  <c r="O25" i="2" s="1"/>
  <c r="R26" i="2"/>
  <c r="I26" i="2"/>
  <c r="F27" i="2"/>
  <c r="Q27" i="2"/>
  <c r="M27" i="2"/>
  <c r="H27" i="2"/>
  <c r="G27" i="2"/>
  <c r="E27" i="2"/>
  <c r="P27" i="2" s="1"/>
  <c r="R27" i="2" s="1"/>
  <c r="S25" i="2"/>
  <c r="I27" i="2" l="1"/>
  <c r="F28" i="2"/>
  <c r="Q28" i="2"/>
  <c r="H28" i="2"/>
  <c r="G28" i="2"/>
  <c r="E28" i="2"/>
  <c r="P28" i="2" s="1"/>
  <c r="R28" i="2" s="1"/>
  <c r="M28" i="2"/>
  <c r="L26" i="2"/>
  <c r="J26" i="2"/>
  <c r="K26" i="2" s="1"/>
  <c r="N26" i="2" s="1"/>
  <c r="O26" i="2" s="1"/>
  <c r="S26" i="2" s="1"/>
  <c r="I28" i="2" l="1"/>
  <c r="F29" i="2"/>
  <c r="Q29" i="2"/>
  <c r="H29" i="2"/>
  <c r="G29" i="2"/>
  <c r="M29" i="2"/>
  <c r="E29" i="2"/>
  <c r="P29" i="2" s="1"/>
  <c r="R29" i="2" s="1"/>
  <c r="L27" i="2"/>
  <c r="J27" i="2"/>
  <c r="K27" i="2" s="1"/>
  <c r="N27" i="2" s="1"/>
  <c r="O27" i="2" s="1"/>
  <c r="S27" i="2" s="1"/>
  <c r="J28" i="2" l="1"/>
  <c r="K28" i="2" s="1"/>
  <c r="L28" i="2"/>
  <c r="I29" i="2"/>
  <c r="H30" i="2"/>
  <c r="G30" i="2"/>
  <c r="F30" i="2"/>
  <c r="I30" i="2" s="1"/>
  <c r="M30" i="2"/>
  <c r="E30" i="2"/>
  <c r="P30" i="2" s="1"/>
  <c r="Q30" i="2"/>
  <c r="N28" i="2" l="1"/>
  <c r="O28" i="2" s="1"/>
  <c r="S28" i="2" s="1"/>
  <c r="R30" i="2"/>
  <c r="J30" i="2"/>
  <c r="K30" i="2" s="1"/>
  <c r="L30" i="2"/>
  <c r="F31" i="2"/>
  <c r="Q31" i="2"/>
  <c r="H31" i="2"/>
  <c r="G31" i="2"/>
  <c r="M31" i="2"/>
  <c r="E31" i="2"/>
  <c r="P31" i="2" s="1"/>
  <c r="R31" i="2" s="1"/>
  <c r="J29" i="2"/>
  <c r="K29" i="2" s="1"/>
  <c r="L29" i="2"/>
  <c r="N29" i="2" l="1"/>
  <c r="O29" i="2" s="1"/>
  <c r="S29" i="2" s="1"/>
  <c r="I31" i="2"/>
  <c r="F32" i="2"/>
  <c r="Q32" i="2"/>
  <c r="M32" i="2"/>
  <c r="G32" i="2"/>
  <c r="E32" i="2"/>
  <c r="P32" i="2" s="1"/>
  <c r="R32" i="2" s="1"/>
  <c r="H32" i="2"/>
  <c r="N30" i="2"/>
  <c r="O30" i="2" s="1"/>
  <c r="S30" i="2"/>
  <c r="I32" i="2" l="1"/>
  <c r="M33" i="2"/>
  <c r="F33" i="2"/>
  <c r="Q33" i="2"/>
  <c r="G33" i="2"/>
  <c r="E33" i="2"/>
  <c r="P33" i="2" s="1"/>
  <c r="R33" i="2" s="1"/>
  <c r="H33" i="2"/>
  <c r="L31" i="2"/>
  <c r="J31" i="2"/>
  <c r="K31" i="2" s="1"/>
  <c r="N31" i="2" s="1"/>
  <c r="O31" i="2" s="1"/>
  <c r="S31" i="2" s="1"/>
  <c r="I33" i="2" l="1"/>
  <c r="M34" i="2"/>
  <c r="Q34" i="2"/>
  <c r="E34" i="2"/>
  <c r="P34" i="2" s="1"/>
  <c r="R34" i="2" s="1"/>
  <c r="F34" i="2"/>
  <c r="G34" i="2"/>
  <c r="H34" i="2"/>
  <c r="L32" i="2"/>
  <c r="J32" i="2"/>
  <c r="K32" i="2" s="1"/>
  <c r="N32" i="2" s="1"/>
  <c r="O32" i="2" s="1"/>
  <c r="S32" i="2" s="1"/>
  <c r="I34" i="2" l="1"/>
  <c r="H35" i="2"/>
  <c r="G35" i="2"/>
  <c r="E35" i="2"/>
  <c r="P35" i="2" s="1"/>
  <c r="M35" i="2"/>
  <c r="Q35" i="2"/>
  <c r="F35" i="2"/>
  <c r="I35" i="2" s="1"/>
  <c r="L33" i="2"/>
  <c r="J33" i="2"/>
  <c r="K33" i="2" s="1"/>
  <c r="N33" i="2" s="1"/>
  <c r="O33" i="2" s="1"/>
  <c r="S33" i="2" s="1"/>
  <c r="R35" i="2" l="1"/>
  <c r="J35" i="2"/>
  <c r="K35" i="2" s="1"/>
  <c r="L35" i="2"/>
  <c r="N35" i="2" s="1"/>
  <c r="O35" i="2" s="1"/>
  <c r="S35" i="2" s="1"/>
  <c r="M36" i="2"/>
  <c r="H36" i="2"/>
  <c r="G36" i="2"/>
  <c r="E36" i="2"/>
  <c r="P36" i="2" s="1"/>
  <c r="Q36" i="2"/>
  <c r="F36" i="2"/>
  <c r="I36" i="2" s="1"/>
  <c r="L34" i="2"/>
  <c r="J34" i="2"/>
  <c r="K34" i="2" s="1"/>
  <c r="N34" i="2" s="1"/>
  <c r="O34" i="2" s="1"/>
  <c r="S34" i="2" s="1"/>
  <c r="J36" i="2" l="1"/>
  <c r="K36" i="2" s="1"/>
  <c r="L36" i="2"/>
  <c r="H37" i="2"/>
  <c r="G37" i="2"/>
  <c r="E37" i="2"/>
  <c r="P37" i="2" s="1"/>
  <c r="Q37" i="2"/>
  <c r="M37" i="2"/>
  <c r="F37" i="2"/>
  <c r="I37" i="2" s="1"/>
  <c r="R36" i="2"/>
  <c r="J37" i="2" l="1"/>
  <c r="K37" i="2" s="1"/>
  <c r="L37" i="2"/>
  <c r="R37" i="2"/>
  <c r="F38" i="2"/>
  <c r="Q38" i="2"/>
  <c r="M38" i="2"/>
  <c r="E38" i="2"/>
  <c r="P38" i="2" s="1"/>
  <c r="R38" i="2" s="1"/>
  <c r="H38" i="2"/>
  <c r="G38" i="2"/>
  <c r="N36" i="2"/>
  <c r="O36" i="2" s="1"/>
  <c r="S36" i="2" s="1"/>
  <c r="I38" i="2" l="1"/>
  <c r="F39" i="2"/>
  <c r="Q39" i="2"/>
  <c r="M39" i="2"/>
  <c r="H39" i="2"/>
  <c r="E39" i="2"/>
  <c r="P39" i="2" s="1"/>
  <c r="R39" i="2" s="1"/>
  <c r="G39" i="2"/>
  <c r="N37" i="2"/>
  <c r="O37" i="2" s="1"/>
  <c r="S37" i="2" s="1"/>
  <c r="I39" i="2" l="1"/>
  <c r="F40" i="2"/>
  <c r="Q40" i="2"/>
  <c r="H40" i="2"/>
  <c r="G40" i="2"/>
  <c r="E40" i="2"/>
  <c r="P40" i="2" s="1"/>
  <c r="R40" i="2" s="1"/>
  <c r="M40" i="2"/>
  <c r="J38" i="2"/>
  <c r="K38" i="2" s="1"/>
  <c r="L38" i="2"/>
  <c r="N38" i="2" l="1"/>
  <c r="O38" i="2" s="1"/>
  <c r="S38" i="2" s="1"/>
  <c r="I40" i="2"/>
  <c r="F41" i="2"/>
  <c r="Q41" i="2"/>
  <c r="H41" i="2"/>
  <c r="G41" i="2"/>
  <c r="M41" i="2"/>
  <c r="E41" i="2"/>
  <c r="P41" i="2" s="1"/>
  <c r="R41" i="2" s="1"/>
  <c r="L39" i="2"/>
  <c r="J39" i="2"/>
  <c r="K39" i="2" s="1"/>
  <c r="N39" i="2" s="1"/>
  <c r="O39" i="2" s="1"/>
  <c r="S39" i="2" s="1"/>
  <c r="I41" i="2" l="1"/>
  <c r="M42" i="2"/>
  <c r="E42" i="2"/>
  <c r="P42" i="2" s="1"/>
  <c r="Q42" i="2"/>
  <c r="G42" i="2"/>
  <c r="H42" i="2"/>
  <c r="F42" i="2"/>
  <c r="I42" i="2" s="1"/>
  <c r="J40" i="2"/>
  <c r="K40" i="2" s="1"/>
  <c r="L40" i="2"/>
  <c r="N40" i="2" l="1"/>
  <c r="O40" i="2" s="1"/>
  <c r="S40" i="2" s="1"/>
  <c r="J42" i="2"/>
  <c r="K42" i="2" s="1"/>
  <c r="L42" i="2"/>
  <c r="R42" i="2"/>
  <c r="F43" i="2"/>
  <c r="Q43" i="2"/>
  <c r="H43" i="2"/>
  <c r="G43" i="2"/>
  <c r="M43" i="2"/>
  <c r="E43" i="2"/>
  <c r="P43" i="2" s="1"/>
  <c r="R43" i="2" s="1"/>
  <c r="J41" i="2"/>
  <c r="K41" i="2" s="1"/>
  <c r="L41" i="2"/>
  <c r="N41" i="2" s="1"/>
  <c r="O41" i="2" s="1"/>
  <c r="S41" i="2" s="1"/>
  <c r="N42" i="2" l="1"/>
  <c r="O42" i="2" s="1"/>
  <c r="I43" i="2"/>
  <c r="F44" i="2"/>
  <c r="Q44" i="2"/>
  <c r="H44" i="2"/>
  <c r="G44" i="2"/>
  <c r="M44" i="2"/>
  <c r="E44" i="2"/>
  <c r="P44" i="2" s="1"/>
  <c r="R44" i="2" s="1"/>
  <c r="S42" i="2"/>
  <c r="I44" i="2" l="1"/>
  <c r="M45" i="2"/>
  <c r="H45" i="2"/>
  <c r="Q45" i="2"/>
  <c r="E45" i="2"/>
  <c r="P45" i="2" s="1"/>
  <c r="R45" i="2" s="1"/>
  <c r="G45" i="2"/>
  <c r="F45" i="2"/>
  <c r="I45" i="2" s="1"/>
  <c r="J43" i="2"/>
  <c r="K43" i="2" s="1"/>
  <c r="L43" i="2"/>
  <c r="M46" i="2" l="1"/>
  <c r="F46" i="2"/>
  <c r="H46" i="2"/>
  <c r="G46" i="2"/>
  <c r="Q46" i="2"/>
  <c r="E46" i="2"/>
  <c r="P46" i="2" s="1"/>
  <c r="R46" i="2" s="1"/>
  <c r="N43" i="2"/>
  <c r="O43" i="2" s="1"/>
  <c r="S43" i="2" s="1"/>
  <c r="J45" i="2"/>
  <c r="K45" i="2" s="1"/>
  <c r="L45" i="2"/>
  <c r="J44" i="2"/>
  <c r="K44" i="2" s="1"/>
  <c r="L44" i="2"/>
  <c r="N44" i="2" l="1"/>
  <c r="O44" i="2" s="1"/>
  <c r="S44" i="2" s="1"/>
  <c r="N45" i="2"/>
  <c r="O45" i="2" s="1"/>
  <c r="S45" i="2" s="1"/>
  <c r="H47" i="2"/>
  <c r="G47" i="2"/>
  <c r="E47" i="2"/>
  <c r="P47" i="2" s="1"/>
  <c r="M47" i="2"/>
  <c r="F47" i="2"/>
  <c r="I47" i="2" s="1"/>
  <c r="Q47" i="2"/>
  <c r="I46" i="2"/>
  <c r="R47" i="2" l="1"/>
  <c r="L46" i="2"/>
  <c r="J46" i="2"/>
  <c r="K46" i="2" s="1"/>
  <c r="J47" i="2"/>
  <c r="K47" i="2" s="1"/>
  <c r="L47" i="2"/>
  <c r="H48" i="2"/>
  <c r="G48" i="2"/>
  <c r="E48" i="2"/>
  <c r="P48" i="2" s="1"/>
  <c r="M48" i="2"/>
  <c r="F48" i="2"/>
  <c r="I48" i="2" s="1"/>
  <c r="Q48" i="2"/>
  <c r="N47" i="2" l="1"/>
  <c r="O47" i="2" s="1"/>
  <c r="S47" i="2" s="1"/>
  <c r="R48" i="2"/>
  <c r="L48" i="2"/>
  <c r="J48" i="2"/>
  <c r="K48" i="2" s="1"/>
  <c r="N48" i="2" s="1"/>
  <c r="O48" i="2" s="1"/>
  <c r="S48" i="2" s="1"/>
  <c r="N46" i="2"/>
  <c r="O46" i="2" s="1"/>
  <c r="S46" i="2" s="1"/>
  <c r="H49" i="2"/>
  <c r="G49" i="2"/>
  <c r="E49" i="2"/>
  <c r="P49" i="2" s="1"/>
  <c r="F49" i="2"/>
  <c r="I49" i="2" s="1"/>
  <c r="M49" i="2"/>
  <c r="Q49" i="2"/>
  <c r="L49" i="2" l="1"/>
  <c r="J49" i="2"/>
  <c r="K49" i="2" s="1"/>
  <c r="F50" i="2"/>
  <c r="Q50" i="2"/>
  <c r="M50" i="2"/>
  <c r="H50" i="2"/>
  <c r="G50" i="2"/>
  <c r="E50" i="2"/>
  <c r="P50" i="2" s="1"/>
  <c r="R50" i="2" s="1"/>
  <c r="R49" i="2"/>
  <c r="I50" i="2" l="1"/>
  <c r="F51" i="2"/>
  <c r="Q51" i="2"/>
  <c r="M51" i="2"/>
  <c r="H51" i="2"/>
  <c r="G51" i="2"/>
  <c r="E51" i="2"/>
  <c r="P51" i="2" s="1"/>
  <c r="R51" i="2" s="1"/>
  <c r="N49" i="2"/>
  <c r="O49" i="2" s="1"/>
  <c r="S49" i="2" s="1"/>
  <c r="F52" i="2" l="1"/>
  <c r="Q52" i="2"/>
  <c r="H52" i="2"/>
  <c r="G52" i="2"/>
  <c r="E52" i="2"/>
  <c r="P52" i="2" s="1"/>
  <c r="M52" i="2"/>
  <c r="I51" i="2"/>
  <c r="L50" i="2"/>
  <c r="J50" i="2"/>
  <c r="K50" i="2" s="1"/>
  <c r="N50" i="2" s="1"/>
  <c r="O50" i="2" s="1"/>
  <c r="S50" i="2" s="1"/>
  <c r="L51" i="2" l="1"/>
  <c r="J51" i="2"/>
  <c r="K51" i="2" s="1"/>
  <c r="N51" i="2" s="1"/>
  <c r="O51" i="2" s="1"/>
  <c r="S51" i="2" s="1"/>
  <c r="R52" i="2"/>
  <c r="F53" i="2"/>
  <c r="Q53" i="2"/>
  <c r="H53" i="2"/>
  <c r="E53" i="2"/>
  <c r="P53" i="2" s="1"/>
  <c r="R53" i="2" s="1"/>
  <c r="G53" i="2"/>
  <c r="M53" i="2"/>
  <c r="I52" i="2"/>
  <c r="J52" i="2" l="1"/>
  <c r="K52" i="2" s="1"/>
  <c r="L52" i="2"/>
  <c r="N52" i="2" s="1"/>
  <c r="O52" i="2" s="1"/>
  <c r="S52" i="2" s="1"/>
  <c r="E54" i="2"/>
  <c r="P54" i="2" s="1"/>
  <c r="F54" i="2"/>
  <c r="H54" i="2"/>
  <c r="Q54" i="2"/>
  <c r="G54" i="2"/>
  <c r="M54" i="2"/>
  <c r="I53" i="2"/>
  <c r="J53" i="2" l="1"/>
  <c r="K53" i="2" s="1"/>
  <c r="L53" i="2"/>
  <c r="N53" i="2" s="1"/>
  <c r="O53" i="2" s="1"/>
  <c r="S53" i="2" s="1"/>
  <c r="F55" i="2"/>
  <c r="Q55" i="2"/>
  <c r="E55" i="2"/>
  <c r="P55" i="2" s="1"/>
  <c r="R55" i="2" s="1"/>
  <c r="G55" i="2"/>
  <c r="H55" i="2"/>
  <c r="M55" i="2"/>
  <c r="I54" i="2"/>
  <c r="R54" i="2"/>
  <c r="J54" i="2" l="1"/>
  <c r="K54" i="2" s="1"/>
  <c r="L54" i="2"/>
  <c r="F56" i="2"/>
  <c r="Q56" i="2"/>
  <c r="G56" i="2"/>
  <c r="E56" i="2"/>
  <c r="P56" i="2" s="1"/>
  <c r="R56" i="2" s="1"/>
  <c r="M56" i="2"/>
  <c r="H56" i="2"/>
  <c r="I55" i="2"/>
  <c r="N54" i="2" l="1"/>
  <c r="O54" i="2" s="1"/>
  <c r="S54" i="2" s="1"/>
  <c r="J55" i="2"/>
  <c r="K55" i="2" s="1"/>
  <c r="L55" i="2"/>
  <c r="M57" i="2"/>
  <c r="E57" i="2"/>
  <c r="P57" i="2" s="1"/>
  <c r="F57" i="2"/>
  <c r="Q57" i="2"/>
  <c r="G57" i="2"/>
  <c r="H57" i="2"/>
  <c r="I56" i="2"/>
  <c r="I57" i="2" l="1"/>
  <c r="R57" i="2"/>
  <c r="M58" i="2"/>
  <c r="Q58" i="2"/>
  <c r="E58" i="2"/>
  <c r="P58" i="2" s="1"/>
  <c r="R58" i="2" s="1"/>
  <c r="F58" i="2"/>
  <c r="H58" i="2"/>
  <c r="G58" i="2"/>
  <c r="J56" i="2"/>
  <c r="K56" i="2" s="1"/>
  <c r="L56" i="2"/>
  <c r="N55" i="2"/>
  <c r="O55" i="2" s="1"/>
  <c r="S55" i="2" s="1"/>
  <c r="I58" i="2" l="1"/>
  <c r="L58" i="2" s="1"/>
  <c r="J57" i="2"/>
  <c r="K57" i="2" s="1"/>
  <c r="N57" i="2" s="1"/>
  <c r="O57" i="2" s="1"/>
  <c r="S57" i="2" s="1"/>
  <c r="L57" i="2"/>
  <c r="N56" i="2"/>
  <c r="O56" i="2" s="1"/>
  <c r="S56" i="2" s="1"/>
  <c r="H59" i="2"/>
  <c r="G59" i="2"/>
  <c r="E59" i="2"/>
  <c r="P59" i="2" s="1"/>
  <c r="M59" i="2"/>
  <c r="Q59" i="2"/>
  <c r="F59" i="2"/>
  <c r="I59" i="2" s="1"/>
  <c r="J58" i="2" l="1"/>
  <c r="K58" i="2" s="1"/>
  <c r="N58" i="2" s="1"/>
  <c r="O58" i="2" s="1"/>
  <c r="S58" i="2" s="1"/>
  <c r="H60" i="2"/>
  <c r="G60" i="2"/>
  <c r="E60" i="2"/>
  <c r="P60" i="2" s="1"/>
  <c r="M60" i="2"/>
  <c r="Q60" i="2"/>
  <c r="F60" i="2"/>
  <c r="I60" i="2" s="1"/>
  <c r="R59" i="2"/>
  <c r="J59" i="2"/>
  <c r="K59" i="2" s="1"/>
  <c r="N59" i="2" s="1"/>
  <c r="O59" i="2" s="1"/>
  <c r="S59" i="2" s="1"/>
  <c r="L59" i="2"/>
  <c r="H61" i="2" l="1"/>
  <c r="G61" i="2"/>
  <c r="E61" i="2"/>
  <c r="P61" i="2" s="1"/>
  <c r="Q61" i="2"/>
  <c r="M61" i="2"/>
  <c r="F61" i="2"/>
  <c r="J60" i="2"/>
  <c r="K60" i="2" s="1"/>
  <c r="L60" i="2"/>
  <c r="R60" i="2"/>
  <c r="N60" i="2" l="1"/>
  <c r="O60" i="2" s="1"/>
  <c r="S60" i="2" s="1"/>
  <c r="I61" i="2"/>
  <c r="R61" i="2"/>
  <c r="J61" i="2"/>
  <c r="K61" i="2" s="1"/>
  <c r="L61" i="2"/>
  <c r="F62" i="2"/>
  <c r="Q62" i="2"/>
  <c r="M62" i="2"/>
  <c r="G62" i="2"/>
  <c r="E62" i="2"/>
  <c r="P62" i="2" s="1"/>
  <c r="H62" i="2"/>
  <c r="R62" i="2" l="1"/>
  <c r="I62" i="2"/>
  <c r="F63" i="2"/>
  <c r="Q63" i="2"/>
  <c r="M63" i="2"/>
  <c r="H63" i="2"/>
  <c r="G63" i="2"/>
  <c r="E63" i="2"/>
  <c r="P63" i="2" s="1"/>
  <c r="N61" i="2"/>
  <c r="O61" i="2" s="1"/>
  <c r="S61" i="2"/>
  <c r="R63" i="2" l="1"/>
  <c r="I63" i="2"/>
  <c r="F64" i="2"/>
  <c r="Q64" i="2"/>
  <c r="H64" i="2"/>
  <c r="G64" i="2"/>
  <c r="E64" i="2"/>
  <c r="P64" i="2" s="1"/>
  <c r="R64" i="2" s="1"/>
  <c r="M64" i="2"/>
  <c r="J62" i="2"/>
  <c r="K62" i="2" s="1"/>
  <c r="L62" i="2"/>
  <c r="N62" i="2" l="1"/>
  <c r="O62" i="2" s="1"/>
  <c r="S62" i="2" s="1"/>
  <c r="I64" i="2"/>
  <c r="Q65" i="2"/>
  <c r="F65" i="2"/>
  <c r="H65" i="2"/>
  <c r="M65" i="2"/>
  <c r="G65" i="2"/>
  <c r="E65" i="2"/>
  <c r="P65" i="2" s="1"/>
  <c r="R65" i="2" s="1"/>
  <c r="L63" i="2"/>
  <c r="J63" i="2"/>
  <c r="K63" i="2" s="1"/>
  <c r="N63" i="2" s="1"/>
  <c r="O63" i="2" s="1"/>
  <c r="S63" i="2" s="1"/>
  <c r="M66" i="2" l="1"/>
  <c r="H66" i="2"/>
  <c r="G66" i="2"/>
  <c r="Q66" i="2"/>
  <c r="F66" i="2"/>
  <c r="I66" i="2" s="1"/>
  <c r="E66" i="2"/>
  <c r="P66" i="2" s="1"/>
  <c r="I65" i="2"/>
  <c r="J64" i="2"/>
  <c r="K64" i="2" s="1"/>
  <c r="L64" i="2"/>
  <c r="J65" i="2" l="1"/>
  <c r="K65" i="2" s="1"/>
  <c r="L65" i="2"/>
  <c r="F67" i="2"/>
  <c r="Q67" i="2"/>
  <c r="M67" i="2"/>
  <c r="H67" i="2"/>
  <c r="G67" i="2"/>
  <c r="E67" i="2"/>
  <c r="P67" i="2" s="1"/>
  <c r="R67" i="2" s="1"/>
  <c r="J66" i="2"/>
  <c r="K66" i="2" s="1"/>
  <c r="L66" i="2"/>
  <c r="R66" i="2"/>
  <c r="N64" i="2"/>
  <c r="O64" i="2" s="1"/>
  <c r="S64" i="2" s="1"/>
  <c r="N66" i="2" l="1"/>
  <c r="O66" i="2" s="1"/>
  <c r="S66" i="2" s="1"/>
  <c r="N65" i="2"/>
  <c r="O65" i="2" s="1"/>
  <c r="S65" i="2" s="1"/>
  <c r="I67" i="2"/>
  <c r="F68" i="2"/>
  <c r="Q68" i="2"/>
  <c r="M68" i="2"/>
  <c r="H68" i="2"/>
  <c r="G68" i="2"/>
  <c r="E68" i="2"/>
  <c r="P68" i="2" s="1"/>
  <c r="R68" i="2" l="1"/>
  <c r="L67" i="2"/>
  <c r="J67" i="2"/>
  <c r="K67" i="2" s="1"/>
  <c r="I68" i="2"/>
  <c r="M69" i="2"/>
  <c r="H69" i="2"/>
  <c r="Q69" i="2"/>
  <c r="F69" i="2"/>
  <c r="E69" i="2"/>
  <c r="P69" i="2" s="1"/>
  <c r="G69" i="2"/>
  <c r="R69" i="2" l="1"/>
  <c r="M70" i="2"/>
  <c r="F70" i="2"/>
  <c r="E70" i="2"/>
  <c r="P70" i="2" s="1"/>
  <c r="H70" i="2"/>
  <c r="Q70" i="2"/>
  <c r="G70" i="2"/>
  <c r="I69" i="2"/>
  <c r="L68" i="2"/>
  <c r="J68" i="2"/>
  <c r="K68" i="2" s="1"/>
  <c r="N68" i="2" s="1"/>
  <c r="O68" i="2" s="1"/>
  <c r="S68" i="2" s="1"/>
  <c r="N67" i="2"/>
  <c r="O67" i="2" s="1"/>
  <c r="S67" i="2" s="1"/>
  <c r="R70" i="2" l="1"/>
  <c r="L69" i="2"/>
  <c r="J69" i="2"/>
  <c r="K69" i="2" s="1"/>
  <c r="N69" i="2" s="1"/>
  <c r="O69" i="2" s="1"/>
  <c r="S69" i="2" s="1"/>
  <c r="I70" i="2"/>
  <c r="L70" i="2" l="1"/>
  <c r="J70" i="2"/>
  <c r="K70" i="2" s="1"/>
  <c r="N70" i="2" s="1"/>
  <c r="O70" i="2" s="1"/>
  <c r="S70" i="2" s="1"/>
  <c r="V8" i="2" s="1"/>
</calcChain>
</file>

<file path=xl/sharedStrings.xml><?xml version="1.0" encoding="utf-8"?>
<sst xmlns="http://schemas.openxmlformats.org/spreadsheetml/2006/main" count="62" uniqueCount="58">
  <si>
    <t>Value</t>
  </si>
  <si>
    <t>Assumption</t>
  </si>
  <si>
    <t>risk-free/Continuously compounded</t>
  </si>
  <si>
    <t>Interest rate ( r )</t>
  </si>
  <si>
    <t>Volatilitily</t>
  </si>
  <si>
    <t>Annual</t>
  </si>
  <si>
    <t>A</t>
  </si>
  <si>
    <t>Makeham's Law</t>
  </si>
  <si>
    <t>B</t>
  </si>
  <si>
    <t>c</t>
  </si>
  <si>
    <t>P</t>
  </si>
  <si>
    <t>Net single premuim</t>
  </si>
  <si>
    <t>x</t>
  </si>
  <si>
    <t>Age-at-issue</t>
  </si>
  <si>
    <t>N</t>
  </si>
  <si>
    <t>length of equity-linked insurance</t>
  </si>
  <si>
    <t>Parameter</t>
  </si>
  <si>
    <t>Index</t>
  </si>
  <si>
    <t>k(years)</t>
  </si>
  <si>
    <t>Xi</t>
  </si>
  <si>
    <t>m</t>
  </si>
  <si>
    <t>St</t>
  </si>
  <si>
    <t>d1</t>
  </si>
  <si>
    <t>log(XiSt)</t>
  </si>
  <si>
    <t>(rt+sig^2/2)*(N-t)</t>
  </si>
  <si>
    <t>sigma*sqrt(N-t)</t>
  </si>
  <si>
    <t>d1(0,k)</t>
  </si>
  <si>
    <t>d2(0,k)</t>
  </si>
  <si>
    <t>Phi(-d1)</t>
  </si>
  <si>
    <t>Phi(-d2)</t>
  </si>
  <si>
    <t>V(0,k)</t>
  </si>
  <si>
    <t>P*V(0,k)</t>
  </si>
  <si>
    <t>tPx</t>
  </si>
  <si>
    <t>tA</t>
  </si>
  <si>
    <t>Bc^x(c^t-1)</t>
  </si>
  <si>
    <t>logc</t>
  </si>
  <si>
    <t>u+tPx</t>
  </si>
  <si>
    <t>(u+t)A</t>
  </si>
  <si>
    <t>Bc^x(c^(u+t)-1)</t>
  </si>
  <si>
    <t>tPx-u+tPx</t>
  </si>
  <si>
    <t>pi(0)</t>
  </si>
  <si>
    <t xml:space="preserve"> PI(t)</t>
  </si>
  <si>
    <t>Management charges</t>
  </si>
  <si>
    <t>k</t>
  </si>
  <si>
    <t>(rt+s^2/2)*k</t>
  </si>
  <si>
    <t>s*sqrt(k)</t>
  </si>
  <si>
    <t>d2</t>
  </si>
  <si>
    <t>(1-m)^(12k)</t>
  </si>
  <si>
    <t>v(0,k)</t>
  </si>
  <si>
    <t>P*v(0,k)</t>
  </si>
  <si>
    <t>PI(t)</t>
  </si>
  <si>
    <t>PI(0)</t>
  </si>
  <si>
    <t>log((1-m)^k/e^(rk))</t>
  </si>
  <si>
    <t>k/12</t>
  </si>
  <si>
    <t>k/12-1/12</t>
  </si>
  <si>
    <r>
      <t>(k/12-1/12)</t>
    </r>
    <r>
      <rPr>
        <sz val="18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x</t>
    </r>
  </si>
  <si>
    <r>
      <rPr>
        <sz val="22"/>
        <color theme="1"/>
        <rFont val="Calibri"/>
        <family val="2"/>
        <scheme val="minor"/>
      </rPr>
      <t>tP</t>
    </r>
    <r>
      <rPr>
        <sz val="11"/>
        <color theme="1"/>
        <rFont val="Calibri"/>
        <family val="2"/>
        <scheme val="minor"/>
      </rPr>
      <t>x</t>
    </r>
  </si>
  <si>
    <r>
      <t xml:space="preserve">u|t </t>
    </r>
    <r>
      <rPr>
        <sz val="48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</si>
</sst>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0.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Maiandra GD"/>
      <family val="2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43" fontId="0" fillId="0" borderId="0" xfId="1" applyFont="1"/>
    <xf numFmtId="43" fontId="0" fillId="0" borderId="0" xfId="0" applyNumberForma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01A6-1DFF-4415-9315-3D05EDE6DE6B}">
  <dimension ref="A1:AB70"/>
  <sheetViews>
    <sheetView workbookViewId="0">
      <selection activeCell="H11" sqref="H11:H70"/>
    </sheetView>
  </sheetViews>
  <sheetFormatPr defaultRowHeight="14.5" x14ac:dyDescent="0.35"/>
  <cols>
    <col min="1" max="1" width="18" bestFit="1" customWidth="1"/>
    <col min="2" max="2" width="10.08984375" bestFit="1" customWidth="1"/>
    <col min="3" max="3" width="31.453125" bestFit="1" customWidth="1"/>
    <col min="9" max="9" width="15.36328125" bestFit="1" customWidth="1"/>
    <col min="10" max="10" width="13.81640625" bestFit="1" customWidth="1"/>
    <col min="16" max="16" width="9.08984375" bestFit="1" customWidth="1"/>
    <col min="17" max="18" width="11.81640625" bestFit="1" customWidth="1"/>
    <col min="22" max="22" width="11.81640625" bestFit="1" customWidth="1"/>
  </cols>
  <sheetData>
    <row r="1" spans="1:28" ht="15.5" x14ac:dyDescent="0.35">
      <c r="A1" s="1" t="s">
        <v>16</v>
      </c>
      <c r="B1" t="s">
        <v>0</v>
      </c>
      <c r="C1" t="s">
        <v>1</v>
      </c>
    </row>
    <row r="2" spans="1:28" x14ac:dyDescent="0.35">
      <c r="A2" t="s">
        <v>3</v>
      </c>
      <c r="B2">
        <f>5/100</f>
        <v>0.05</v>
      </c>
      <c r="C2" t="s">
        <v>2</v>
      </c>
      <c r="F2" t="s">
        <v>20</v>
      </c>
      <c r="G2">
        <f>0.25/100</f>
        <v>2.5000000000000001E-3</v>
      </c>
    </row>
    <row r="3" spans="1:28" x14ac:dyDescent="0.35">
      <c r="A3" t="s">
        <v>4</v>
      </c>
      <c r="B3">
        <f>25/100</f>
        <v>0.25</v>
      </c>
      <c r="C3" t="s">
        <v>5</v>
      </c>
    </row>
    <row r="4" spans="1:28" x14ac:dyDescent="0.35">
      <c r="A4" t="s">
        <v>6</v>
      </c>
      <c r="B4">
        <v>1E-4</v>
      </c>
      <c r="C4" t="s">
        <v>7</v>
      </c>
    </row>
    <row r="5" spans="1:28" x14ac:dyDescent="0.35">
      <c r="A5" t="s">
        <v>8</v>
      </c>
      <c r="B5">
        <v>3.5E-4</v>
      </c>
      <c r="C5" t="s">
        <v>7</v>
      </c>
    </row>
    <row r="6" spans="1:28" x14ac:dyDescent="0.35">
      <c r="A6" t="s">
        <v>9</v>
      </c>
      <c r="B6">
        <v>1.075</v>
      </c>
      <c r="C6" t="s">
        <v>7</v>
      </c>
    </row>
    <row r="7" spans="1:28" x14ac:dyDescent="0.35">
      <c r="A7" t="s">
        <v>10</v>
      </c>
      <c r="B7" s="2">
        <v>10000</v>
      </c>
      <c r="C7" t="s">
        <v>11</v>
      </c>
    </row>
    <row r="8" spans="1:28" x14ac:dyDescent="0.35">
      <c r="A8" t="s">
        <v>12</v>
      </c>
      <c r="B8">
        <v>65</v>
      </c>
      <c r="C8" t="s">
        <v>13</v>
      </c>
    </row>
    <row r="9" spans="1:28" x14ac:dyDescent="0.35">
      <c r="A9" t="s">
        <v>14</v>
      </c>
      <c r="B9">
        <v>5</v>
      </c>
      <c r="C9" t="s">
        <v>15</v>
      </c>
      <c r="AA9" t="s">
        <v>40</v>
      </c>
      <c r="AB9" s="3">
        <f>SUM(Y11:Y70)</f>
        <v>119.00301433902153</v>
      </c>
    </row>
    <row r="10" spans="1:28" x14ac:dyDescent="0.35">
      <c r="D10" t="s">
        <v>17</v>
      </c>
      <c r="E10" t="s">
        <v>18</v>
      </c>
      <c r="F10" t="s">
        <v>19</v>
      </c>
      <c r="G10" t="s">
        <v>21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29</v>
      </c>
      <c r="N10" t="s">
        <v>28</v>
      </c>
      <c r="O10" t="s">
        <v>30</v>
      </c>
      <c r="P10" t="s">
        <v>31</v>
      </c>
      <c r="Q10" t="s">
        <v>37</v>
      </c>
      <c r="R10" t="s">
        <v>38</v>
      </c>
      <c r="S10" t="s">
        <v>35</v>
      </c>
      <c r="T10" t="s">
        <v>36</v>
      </c>
      <c r="U10" t="s">
        <v>33</v>
      </c>
      <c r="V10" t="s">
        <v>34</v>
      </c>
      <c r="W10" t="s">
        <v>32</v>
      </c>
      <c r="X10" t="s">
        <v>39</v>
      </c>
      <c r="Y10" t="s">
        <v>41</v>
      </c>
    </row>
    <row r="11" spans="1:28" x14ac:dyDescent="0.35">
      <c r="D11">
        <v>0</v>
      </c>
      <c r="E11">
        <f>(D11+1)/12</f>
        <v>8.3333333333333329E-2</v>
      </c>
      <c r="F11">
        <f>(1-$G$2)^E11</f>
        <v>0.99979142756941108</v>
      </c>
      <c r="G11">
        <f>EXP($B$2*E11)</f>
        <v>1.0041753592911185</v>
      </c>
      <c r="H11">
        <f>LN(F11*G11)</f>
        <v>3.9580724818232375E-3</v>
      </c>
      <c r="I11">
        <f>($B$2+$B$3^2/2)*($B$9-E11+1/12)</f>
        <v>0.40625</v>
      </c>
      <c r="J11">
        <f>$B$3*SQRT($B$9-E11+1/12)</f>
        <v>0.55901699437494745</v>
      </c>
      <c r="K11">
        <f>(H11+I11)/J11</f>
        <v>0.73380250799081403</v>
      </c>
      <c r="L11">
        <f>K11-J11</f>
        <v>0.17478551361586658</v>
      </c>
      <c r="M11">
        <f>_xlfn.NORM.DIST(-L11,0,1,TRUE)</f>
        <v>0.43062408578581823</v>
      </c>
      <c r="N11">
        <f>_xlfn.NORM.DIST(-K11,0,1,TRUE)</f>
        <v>0.23153455590224192</v>
      </c>
      <c r="O11">
        <f>EXP(-$B$2*($B$9-E11+1/12))*M11-F11*G11*N11</f>
        <v>0.10291757271835264</v>
      </c>
      <c r="P11" s="3">
        <f>$B$7*O11</f>
        <v>1029.1757271835263</v>
      </c>
      <c r="Q11">
        <f>E11*$B$4</f>
        <v>8.3333333333333337E-6</v>
      </c>
      <c r="R11">
        <f>$B$5*$B$6^$B$8*($B$6^E11-1)</f>
        <v>2.3281379399757299E-4</v>
      </c>
      <c r="S11">
        <f>LN($B$6)</f>
        <v>7.2320661579626078E-2</v>
      </c>
      <c r="T11">
        <f>EXP(-Q11-R11/S11)</f>
        <v>0.99677768167888059</v>
      </c>
      <c r="U11">
        <f>(E11-1/12)*$B$4</f>
        <v>0</v>
      </c>
      <c r="V11">
        <f>$B$5*$B$6^$B$8*($B$6^(E11-1/12)-1)</f>
        <v>0</v>
      </c>
      <c r="W11">
        <f>EXP(-U11-V11/S11)</f>
        <v>1</v>
      </c>
      <c r="X11">
        <f>W11-T11</f>
        <v>3.2223183211194106E-3</v>
      </c>
      <c r="Y11" s="3">
        <f>X11*P11</f>
        <v>3.316331801354869</v>
      </c>
    </row>
    <row r="12" spans="1:28" x14ac:dyDescent="0.35">
      <c r="D12">
        <f>D11+1</f>
        <v>1</v>
      </c>
      <c r="E12">
        <f t="shared" ref="E12:E70" si="0">(D12+1)/12</f>
        <v>0.16666666666666666</v>
      </c>
      <c r="F12">
        <f t="shared" ref="F12:F70" si="1">(1-$G$2)^E12</f>
        <v>0.99958289864128103</v>
      </c>
      <c r="G12">
        <f t="shared" ref="G12:G70" si="2">EXP($B$2*E12)</f>
        <v>1.008368152207447</v>
      </c>
      <c r="H12">
        <f t="shared" ref="H12:H70" si="3">LN(F12*G12)</f>
        <v>7.916144963646914E-3</v>
      </c>
      <c r="I12">
        <f t="shared" ref="I12:I70" si="4">($B$2+$B$3^2/2)*($B$9-E12+1/12)</f>
        <v>0.39947916666666661</v>
      </c>
      <c r="J12">
        <f t="shared" ref="J12:J70" si="5">$B$3*SQRT($B$9-E12+1/12)</f>
        <v>0.5543389456520863</v>
      </c>
      <c r="K12">
        <f t="shared" ref="K12:K70" si="6">(H12+I12)/J12</f>
        <v>0.7349209627533595</v>
      </c>
      <c r="L12">
        <f t="shared" ref="L12:L70" si="7">K12-J12</f>
        <v>0.1805820171012732</v>
      </c>
      <c r="M12">
        <f t="shared" ref="M12:M70" si="8">_xlfn.NORM.DIST(-L12,0,1,TRUE)</f>
        <v>0.42834783604270271</v>
      </c>
      <c r="N12">
        <f t="shared" ref="N12:N70" si="9">_xlfn.NORM.DIST(-K12,0,1,TRUE)</f>
        <v>0.23119381539936526</v>
      </c>
      <c r="O12">
        <f t="shared" ref="O12:O70" si="10">EXP(-$B$2*($B$9-E12+1/12))*M12-F12*G12*N12</f>
        <v>0.10195927787138467</v>
      </c>
      <c r="P12" s="3">
        <f t="shared" ref="P12:P70" si="11">$B$7*O12</f>
        <v>1019.5927787138468</v>
      </c>
      <c r="Q12">
        <f t="shared" ref="Q12:Q70" si="12">E12*$B$4</f>
        <v>1.6666666666666667E-5</v>
      </c>
      <c r="R12">
        <f t="shared" ref="R12:R70" si="13">$B$5*$B$6^$B$8*($B$6^E12-1)</f>
        <v>4.6703492852759548E-4</v>
      </c>
      <c r="S12">
        <f t="shared" ref="S12:S70" si="14">LN($B$6)</f>
        <v>7.2320661579626078E-2</v>
      </c>
      <c r="T12">
        <f t="shared" ref="T12:T70" si="15">EXP(-Q12-R12/S12)</f>
        <v>0.9935464123602874</v>
      </c>
      <c r="U12">
        <f t="shared" ref="U12:U70" si="16">(E12-1/12)*$B$4</f>
        <v>8.3333333333333337E-6</v>
      </c>
      <c r="V12">
        <f t="shared" ref="V12:V70" si="17">$B$5*$B$6^$B$8*($B$6^(E12-1/12)-1)</f>
        <v>2.3281379399757299E-4</v>
      </c>
      <c r="W12">
        <f t="shared" ref="W12:W70" si="18">EXP(-U12-V12/S12)</f>
        <v>0.99677768167888059</v>
      </c>
      <c r="X12">
        <f t="shared" ref="X12:X70" si="19">W12-T12</f>
        <v>3.2312693185931884E-3</v>
      </c>
      <c r="Y12" s="3">
        <f t="shared" ref="Y12:Y70" si="20">X12*P12</f>
        <v>3.294578863317227</v>
      </c>
    </row>
    <row r="13" spans="1:28" x14ac:dyDescent="0.35">
      <c r="D13">
        <f t="shared" ref="D13:D76" si="21">D12+1</f>
        <v>2</v>
      </c>
      <c r="E13">
        <f t="shared" si="0"/>
        <v>0.25</v>
      </c>
      <c r="F13">
        <f t="shared" si="1"/>
        <v>0.99937441320653642</v>
      </c>
      <c r="G13">
        <f t="shared" si="2"/>
        <v>1.0125784515406344</v>
      </c>
      <c r="H13">
        <f t="shared" si="3"/>
        <v>1.1874217445470407E-2</v>
      </c>
      <c r="I13">
        <f t="shared" si="4"/>
        <v>0.39270833333333333</v>
      </c>
      <c r="J13">
        <f t="shared" si="5"/>
        <v>0.54962108159470491</v>
      </c>
      <c r="K13">
        <f t="shared" si="6"/>
        <v>0.73611177650777637</v>
      </c>
      <c r="L13">
        <f t="shared" si="7"/>
        <v>0.18649069491307146</v>
      </c>
      <c r="M13">
        <f t="shared" si="8"/>
        <v>0.42602998762315497</v>
      </c>
      <c r="N13">
        <f t="shared" si="9"/>
        <v>0.23083133824338611</v>
      </c>
      <c r="O13">
        <f t="shared" si="10"/>
        <v>0.10098036039639693</v>
      </c>
      <c r="P13" s="3">
        <f t="shared" si="11"/>
        <v>1009.8036039639693</v>
      </c>
      <c r="Q13">
        <f t="shared" si="12"/>
        <v>2.5000000000000001E-5</v>
      </c>
      <c r="R13">
        <f t="shared" si="13"/>
        <v>7.026719108496329E-4</v>
      </c>
      <c r="S13">
        <f t="shared" si="14"/>
        <v>7.2320661579626078E-2</v>
      </c>
      <c r="T13">
        <f t="shared" si="15"/>
        <v>0.99030623012280516</v>
      </c>
      <c r="U13">
        <f t="shared" si="16"/>
        <v>1.6666666666666671E-5</v>
      </c>
      <c r="V13">
        <f t="shared" si="17"/>
        <v>4.6703492852759548E-4</v>
      </c>
      <c r="W13">
        <f t="shared" si="18"/>
        <v>0.9935464123602874</v>
      </c>
      <c r="X13">
        <f t="shared" si="19"/>
        <v>3.2401822374822364E-3</v>
      </c>
      <c r="Y13" s="3">
        <f t="shared" si="20"/>
        <v>3.2719477009096001</v>
      </c>
    </row>
    <row r="14" spans="1:28" x14ac:dyDescent="0.35">
      <c r="D14">
        <f t="shared" si="21"/>
        <v>3</v>
      </c>
      <c r="E14">
        <f t="shared" si="0"/>
        <v>0.33333333333333331</v>
      </c>
      <c r="F14">
        <f t="shared" si="1"/>
        <v>0.99916597125610562</v>
      </c>
      <c r="G14">
        <f t="shared" si="2"/>
        <v>1.0168063303862609</v>
      </c>
      <c r="H14">
        <f t="shared" si="3"/>
        <v>1.5832289927293814E-2</v>
      </c>
      <c r="I14">
        <f t="shared" si="4"/>
        <v>0.38593749999999999</v>
      </c>
      <c r="J14">
        <f t="shared" si="5"/>
        <v>0.54486236794258425</v>
      </c>
      <c r="K14">
        <f t="shared" si="6"/>
        <v>0.73737848962553221</v>
      </c>
      <c r="L14">
        <f t="shared" si="7"/>
        <v>0.19251612168294796</v>
      </c>
      <c r="M14">
        <f t="shared" si="8"/>
        <v>0.42366897041272034</v>
      </c>
      <c r="N14">
        <f t="shared" si="9"/>
        <v>0.23044610635172708</v>
      </c>
      <c r="O14">
        <f t="shared" si="10"/>
        <v>9.9980401952398296E-2</v>
      </c>
      <c r="P14" s="3">
        <f t="shared" si="11"/>
        <v>999.8040195239829</v>
      </c>
      <c r="Q14">
        <f t="shared" si="12"/>
        <v>3.3333333333333335E-5</v>
      </c>
      <c r="R14">
        <f t="shared" si="13"/>
        <v>9.3973329964894096E-4</v>
      </c>
      <c r="S14">
        <f t="shared" si="14"/>
        <v>7.2320661579626078E-2</v>
      </c>
      <c r="T14">
        <f t="shared" si="15"/>
        <v>0.98705717388195557</v>
      </c>
      <c r="U14">
        <f t="shared" si="16"/>
        <v>2.5000000000000001E-5</v>
      </c>
      <c r="V14">
        <f t="shared" si="17"/>
        <v>7.026719108496329E-4</v>
      </c>
      <c r="W14">
        <f t="shared" si="18"/>
        <v>0.99030623012280516</v>
      </c>
      <c r="X14">
        <f t="shared" si="19"/>
        <v>3.2490562408495904E-3</v>
      </c>
      <c r="Y14" s="3">
        <f t="shared" si="20"/>
        <v>3.2484194892609026</v>
      </c>
    </row>
    <row r="15" spans="1:28" x14ac:dyDescent="0.35">
      <c r="D15">
        <f t="shared" si="21"/>
        <v>4</v>
      </c>
      <c r="E15">
        <f t="shared" si="0"/>
        <v>0.41666666666666669</v>
      </c>
      <c r="F15">
        <f t="shared" si="1"/>
        <v>0.99895757278091901</v>
      </c>
      <c r="G15">
        <f t="shared" si="2"/>
        <v>1.0210518621451075</v>
      </c>
      <c r="H15">
        <f t="shared" si="3"/>
        <v>1.9790362409117395E-2</v>
      </c>
      <c r="I15">
        <f t="shared" si="4"/>
        <v>0.37916666666666665</v>
      </c>
      <c r="J15">
        <f t="shared" si="5"/>
        <v>0.54006172486732162</v>
      </c>
      <c r="K15">
        <f t="shared" si="6"/>
        <v>0.73872487292780631</v>
      </c>
      <c r="L15">
        <f t="shared" si="7"/>
        <v>0.19866314806048468</v>
      </c>
      <c r="M15">
        <f t="shared" si="8"/>
        <v>0.42126312648135544</v>
      </c>
      <c r="N15">
        <f t="shared" si="9"/>
        <v>0.23003703952577495</v>
      </c>
      <c r="O15">
        <f t="shared" si="10"/>
        <v>9.8958972014935143E-2</v>
      </c>
      <c r="P15" s="3">
        <f t="shared" si="11"/>
        <v>989.58972014935148</v>
      </c>
      <c r="Q15">
        <f t="shared" si="12"/>
        <v>4.1666666666666672E-5</v>
      </c>
      <c r="R15">
        <f t="shared" si="13"/>
        <v>1.1782277053473237E-3</v>
      </c>
      <c r="S15">
        <f t="shared" si="14"/>
        <v>7.2320661579626078E-2</v>
      </c>
      <c r="T15">
        <f t="shared" si="15"/>
        <v>0.98379928339569234</v>
      </c>
      <c r="U15">
        <f t="shared" si="16"/>
        <v>3.3333333333333342E-5</v>
      </c>
      <c r="V15">
        <f t="shared" si="17"/>
        <v>9.3973329964894096E-4</v>
      </c>
      <c r="W15">
        <f t="shared" si="18"/>
        <v>0.98705717388195557</v>
      </c>
      <c r="X15">
        <f t="shared" si="19"/>
        <v>3.2578904862632374E-3</v>
      </c>
      <c r="Y15" s="3">
        <f t="shared" si="20"/>
        <v>3.2239749345784716</v>
      </c>
    </row>
    <row r="16" spans="1:28" x14ac:dyDescent="0.35">
      <c r="D16">
        <f t="shared" si="21"/>
        <v>5</v>
      </c>
      <c r="E16">
        <f>(D16+1)/12</f>
        <v>0.5</v>
      </c>
      <c r="F16">
        <f t="shared" si="1"/>
        <v>0.99874921777190895</v>
      </c>
      <c r="G16">
        <f t="shared" si="2"/>
        <v>1.0253151205244289</v>
      </c>
      <c r="H16">
        <f t="shared" si="3"/>
        <v>2.3748434890940681E-2</v>
      </c>
      <c r="I16">
        <f t="shared" si="4"/>
        <v>0.37239583333333331</v>
      </c>
      <c r="J16">
        <f t="shared" si="5"/>
        <v>0.53521802411104702</v>
      </c>
      <c r="K16">
        <f t="shared" si="6"/>
        <v>0.74015494691576755</v>
      </c>
      <c r="L16">
        <f t="shared" si="7"/>
        <v>0.20493692280472053</v>
      </c>
      <c r="M16">
        <f t="shared" si="8"/>
        <v>0.41881070358665945</v>
      </c>
      <c r="N16">
        <f t="shared" si="9"/>
        <v>0.22960299062613687</v>
      </c>
      <c r="O16">
        <f t="shared" si="10"/>
        <v>9.7915627389841137E-2</v>
      </c>
      <c r="P16" s="3">
        <f t="shared" si="11"/>
        <v>979.15627389841131</v>
      </c>
      <c r="Q16">
        <f t="shared" si="12"/>
        <v>5.0000000000000002E-5</v>
      </c>
      <c r="R16">
        <f t="shared" si="13"/>
        <v>1.4181637904158914E-3</v>
      </c>
      <c r="S16">
        <f t="shared" si="14"/>
        <v>7.2320661579626078E-2</v>
      </c>
      <c r="T16">
        <f t="shared" si="15"/>
        <v>0.98053259926985681</v>
      </c>
      <c r="U16">
        <f t="shared" si="16"/>
        <v>4.1666666666666672E-5</v>
      </c>
      <c r="V16">
        <f t="shared" si="17"/>
        <v>1.1782277053473237E-3</v>
      </c>
      <c r="W16">
        <f t="shared" si="18"/>
        <v>0.98379928339569234</v>
      </c>
      <c r="X16">
        <f t="shared" si="19"/>
        <v>3.2666841258355284E-3</v>
      </c>
      <c r="Y16" s="3">
        <f t="shared" si="20"/>
        <v>3.1985942566562051</v>
      </c>
    </row>
    <row r="17" spans="4:25" x14ac:dyDescent="0.35">
      <c r="D17">
        <f t="shared" si="21"/>
        <v>6</v>
      </c>
      <c r="E17">
        <f t="shared" si="0"/>
        <v>0.58333333333333337</v>
      </c>
      <c r="F17">
        <f t="shared" si="1"/>
        <v>0.99854090622000957</v>
      </c>
      <c r="G17">
        <f t="shared" si="2"/>
        <v>1.0295961795392348</v>
      </c>
      <c r="H17">
        <f t="shared" si="3"/>
        <v>2.7706507372764092E-2</v>
      </c>
      <c r="I17">
        <f t="shared" si="4"/>
        <v>0.36562500000000003</v>
      </c>
      <c r="J17">
        <f t="shared" si="5"/>
        <v>0.5303300858899106</v>
      </c>
      <c r="K17">
        <f t="shared" si="6"/>
        <v>0.74167300298028815</v>
      </c>
      <c r="L17">
        <f t="shared" si="7"/>
        <v>0.21134291709037756</v>
      </c>
      <c r="M17">
        <f t="shared" si="8"/>
        <v>0.41630984807743571</v>
      </c>
      <c r="N17">
        <f t="shared" si="9"/>
        <v>0.22914274028801018</v>
      </c>
      <c r="O17">
        <f t="shared" si="10"/>
        <v>9.68499117052605E-2</v>
      </c>
      <c r="P17" s="3">
        <f t="shared" si="11"/>
        <v>968.49911705260502</v>
      </c>
      <c r="Q17">
        <f t="shared" si="12"/>
        <v>5.833333333333334E-5</v>
      </c>
      <c r="R17">
        <f t="shared" si="13"/>
        <v>1.6595502696897153E-3</v>
      </c>
      <c r="S17">
        <f t="shared" si="14"/>
        <v>7.2320661579626078E-2</v>
      </c>
      <c r="T17">
        <f t="shared" si="15"/>
        <v>0.97725716296359122</v>
      </c>
      <c r="U17">
        <f t="shared" si="16"/>
        <v>5.0000000000000002E-5</v>
      </c>
      <c r="V17">
        <f t="shared" si="17"/>
        <v>1.4181637904158914E-3</v>
      </c>
      <c r="W17">
        <f t="shared" si="18"/>
        <v>0.98053259926985681</v>
      </c>
      <c r="X17">
        <f t="shared" si="19"/>
        <v>3.2754363062655889E-3</v>
      </c>
      <c r="Y17" s="3">
        <f t="shared" si="20"/>
        <v>3.1722571705802687</v>
      </c>
    </row>
    <row r="18" spans="4:25" x14ac:dyDescent="0.35">
      <c r="D18">
        <f t="shared" si="21"/>
        <v>7</v>
      </c>
      <c r="E18">
        <f t="shared" si="0"/>
        <v>0.66666666666666663</v>
      </c>
      <c r="F18">
        <f t="shared" si="1"/>
        <v>0.9983326381161568</v>
      </c>
      <c r="G18">
        <f t="shared" si="2"/>
        <v>1.0338951135135741</v>
      </c>
      <c r="H18">
        <f t="shared" si="3"/>
        <v>3.1664579854587552E-2</v>
      </c>
      <c r="I18">
        <f t="shared" si="4"/>
        <v>0.35885416666666664</v>
      </c>
      <c r="J18">
        <f t="shared" si="5"/>
        <v>0.52539667553827041</v>
      </c>
      <c r="K18">
        <f t="shared" si="6"/>
        <v>0.74328362683522231</v>
      </c>
      <c r="L18">
        <f t="shared" si="7"/>
        <v>0.2178869512969519</v>
      </c>
      <c r="M18">
        <f t="shared" si="8"/>
        <v>0.4137585971310368</v>
      </c>
      <c r="N18">
        <f t="shared" si="9"/>
        <v>0.22865499112440446</v>
      </c>
      <c r="O18">
        <f t="shared" si="10"/>
        <v>9.5761354881356092E-2</v>
      </c>
      <c r="P18" s="3">
        <f t="shared" si="11"/>
        <v>957.6135488135609</v>
      </c>
      <c r="Q18">
        <f t="shared" si="12"/>
        <v>6.666666666666667E-5</v>
      </c>
      <c r="R18">
        <f t="shared" si="13"/>
        <v>1.902395910684305E-3</v>
      </c>
      <c r="S18">
        <f t="shared" si="14"/>
        <v>7.2320661579626078E-2</v>
      </c>
      <c r="T18">
        <f t="shared" si="15"/>
        <v>0.97397301679470993</v>
      </c>
      <c r="U18">
        <f t="shared" si="16"/>
        <v>5.8333333333333326E-5</v>
      </c>
      <c r="V18">
        <f t="shared" si="17"/>
        <v>1.6595502696897153E-3</v>
      </c>
      <c r="W18">
        <f t="shared" si="18"/>
        <v>0.97725716296359122</v>
      </c>
      <c r="X18">
        <f t="shared" si="19"/>
        <v>3.2841461688812856E-3</v>
      </c>
      <c r="Y18" s="3">
        <f t="shared" si="20"/>
        <v>3.1449428676048679</v>
      </c>
    </row>
    <row r="19" spans="4:25" x14ac:dyDescent="0.35">
      <c r="D19">
        <f t="shared" si="21"/>
        <v>8</v>
      </c>
      <c r="E19">
        <f t="shared" si="0"/>
        <v>0.75</v>
      </c>
      <c r="F19">
        <f t="shared" si="1"/>
        <v>0.99812441345128877</v>
      </c>
      <c r="G19">
        <f t="shared" si="2"/>
        <v>1.0382119970818251</v>
      </c>
      <c r="H19">
        <f t="shared" si="3"/>
        <v>3.5622652336411126E-2</v>
      </c>
      <c r="I19">
        <f t="shared" si="4"/>
        <v>0.3520833333333333</v>
      </c>
      <c r="J19">
        <f t="shared" si="5"/>
        <v>0.52041649986653316</v>
      </c>
      <c r="K19">
        <f t="shared" si="6"/>
        <v>0.74499172445373307</v>
      </c>
      <c r="L19">
        <f t="shared" si="7"/>
        <v>0.22457522458719992</v>
      </c>
      <c r="M19">
        <f t="shared" si="8"/>
        <v>0.41115487024926489</v>
      </c>
      <c r="N19">
        <f t="shared" si="9"/>
        <v>0.22813836135801746</v>
      </c>
      <c r="O19">
        <f t="shared" si="10"/>
        <v>9.4649472577208432E-2</v>
      </c>
      <c r="P19" s="3">
        <f t="shared" si="11"/>
        <v>946.49472577208428</v>
      </c>
      <c r="Q19">
        <f t="shared" si="12"/>
        <v>7.5000000000000007E-5</v>
      </c>
      <c r="R19">
        <f t="shared" si="13"/>
        <v>2.1467095339141045E-3</v>
      </c>
      <c r="S19">
        <f t="shared" si="14"/>
        <v>7.2320661579626078E-2</v>
      </c>
      <c r="T19">
        <f t="shared" si="15"/>
        <v>0.97068020394502519</v>
      </c>
      <c r="U19">
        <f t="shared" si="16"/>
        <v>6.666666666666667E-5</v>
      </c>
      <c r="V19">
        <f t="shared" si="17"/>
        <v>1.902395910684305E-3</v>
      </c>
      <c r="W19">
        <f t="shared" si="18"/>
        <v>0.97397301679470993</v>
      </c>
      <c r="X19">
        <f t="shared" si="19"/>
        <v>3.2928128496847453E-3</v>
      </c>
      <c r="Y19" s="3">
        <f t="shared" si="20"/>
        <v>3.1166299951811585</v>
      </c>
    </row>
    <row r="20" spans="4:25" x14ac:dyDescent="0.35">
      <c r="D20">
        <f t="shared" si="21"/>
        <v>9</v>
      </c>
      <c r="E20">
        <f t="shared" si="0"/>
        <v>0.83333333333333337</v>
      </c>
      <c r="F20">
        <f t="shared" si="1"/>
        <v>0.99791623221634518</v>
      </c>
      <c r="G20">
        <f t="shared" si="2"/>
        <v>1.0425469051899914</v>
      </c>
      <c r="H20">
        <f t="shared" si="3"/>
        <v>3.9580724818234658E-2</v>
      </c>
      <c r="I20">
        <f t="shared" si="4"/>
        <v>0.34531250000000002</v>
      </c>
      <c r="J20">
        <f t="shared" si="5"/>
        <v>0.51538820320220757</v>
      </c>
      <c r="K20">
        <f t="shared" si="6"/>
        <v>0.74680255082832303</v>
      </c>
      <c r="L20">
        <f t="shared" si="7"/>
        <v>0.23141434762611546</v>
      </c>
      <c r="M20">
        <f t="shared" si="8"/>
        <v>0.40849645992766326</v>
      </c>
      <c r="N20">
        <f t="shared" si="9"/>
        <v>0.22759137781459099</v>
      </c>
      <c r="O20">
        <f t="shared" si="10"/>
        <v>9.3513765614566952E-2</v>
      </c>
      <c r="P20" s="3">
        <f t="shared" si="11"/>
        <v>935.13765614566955</v>
      </c>
      <c r="Q20">
        <f t="shared" si="12"/>
        <v>8.3333333333333344E-5</v>
      </c>
      <c r="R20">
        <f t="shared" si="13"/>
        <v>2.3925000132128593E-3</v>
      </c>
      <c r="S20">
        <f t="shared" si="14"/>
        <v>7.2320661579626078E-2</v>
      </c>
      <c r="T20">
        <f t="shared" si="15"/>
        <v>0.96737876846562509</v>
      </c>
      <c r="U20">
        <f t="shared" si="16"/>
        <v>7.5000000000000007E-5</v>
      </c>
      <c r="V20">
        <f t="shared" si="17"/>
        <v>2.1467095339141045E-3</v>
      </c>
      <c r="W20">
        <f t="shared" si="18"/>
        <v>0.97068020394502519</v>
      </c>
      <c r="X20">
        <f t="shared" si="19"/>
        <v>3.3014354794000944E-3</v>
      </c>
      <c r="Y20" s="3">
        <f t="shared" si="20"/>
        <v>3.0872966361223591</v>
      </c>
    </row>
    <row r="21" spans="4:25" x14ac:dyDescent="0.35">
      <c r="D21">
        <f t="shared" si="21"/>
        <v>10</v>
      </c>
      <c r="E21">
        <f t="shared" si="0"/>
        <v>0.91666666666666663</v>
      </c>
      <c r="F21">
        <f t="shared" si="1"/>
        <v>0.99770809440226771</v>
      </c>
      <c r="G21">
        <f t="shared" si="2"/>
        <v>1.0468999130970034</v>
      </c>
      <c r="H21">
        <f t="shared" si="3"/>
        <v>4.3538797300058218E-2</v>
      </c>
      <c r="I21">
        <f t="shared" si="4"/>
        <v>0.33854166666666663</v>
      </c>
      <c r="J21">
        <f t="shared" si="5"/>
        <v>0.51031036307982869</v>
      </c>
      <c r="K21">
        <f t="shared" si="6"/>
        <v>0.7487217419234643</v>
      </c>
      <c r="L21">
        <f t="shared" si="7"/>
        <v>0.23841137884363561</v>
      </c>
      <c r="M21">
        <f t="shared" si="8"/>
        <v>0.4057810214015542</v>
      </c>
      <c r="N21">
        <f t="shared" si="9"/>
        <v>0.22701246820134965</v>
      </c>
      <c r="O21">
        <f t="shared" si="10"/>
        <v>9.2353719378308913E-2</v>
      </c>
      <c r="P21" s="3">
        <f t="shared" si="11"/>
        <v>923.53719378308915</v>
      </c>
      <c r="Q21">
        <f t="shared" si="12"/>
        <v>9.1666666666666668E-5</v>
      </c>
      <c r="R21">
        <f t="shared" si="13"/>
        <v>2.6397762760559267E-3</v>
      </c>
      <c r="S21">
        <f t="shared" si="14"/>
        <v>7.2320661579626078E-2</v>
      </c>
      <c r="T21">
        <f t="shared" si="15"/>
        <v>0.96406875528210523</v>
      </c>
      <c r="U21">
        <f t="shared" si="16"/>
        <v>8.3333333333333331E-5</v>
      </c>
      <c r="V21">
        <f t="shared" si="17"/>
        <v>2.3925000132128593E-3</v>
      </c>
      <c r="W21">
        <f t="shared" si="18"/>
        <v>0.96737876846562509</v>
      </c>
      <c r="X21">
        <f t="shared" si="19"/>
        <v>3.3100131835198665E-3</v>
      </c>
      <c r="Y21" s="3">
        <f t="shared" si="20"/>
        <v>3.0569202868929666</v>
      </c>
    </row>
    <row r="22" spans="4:25" x14ac:dyDescent="0.35">
      <c r="D22">
        <f t="shared" si="21"/>
        <v>11</v>
      </c>
      <c r="E22">
        <f t="shared" si="0"/>
        <v>1</v>
      </c>
      <c r="F22">
        <f t="shared" si="1"/>
        <v>0.99750000000000005</v>
      </c>
      <c r="G22">
        <f t="shared" si="2"/>
        <v>1.0512710963760241</v>
      </c>
      <c r="H22">
        <f t="shared" si="3"/>
        <v>4.7496869781881564E-2</v>
      </c>
      <c r="I22">
        <f t="shared" si="4"/>
        <v>0.33177083333333335</v>
      </c>
      <c r="J22">
        <f t="shared" si="5"/>
        <v>0.50518148554092257</v>
      </c>
      <c r="K22">
        <f t="shared" si="6"/>
        <v>0.75075535024628703</v>
      </c>
      <c r="L22">
        <f t="shared" si="7"/>
        <v>0.24557386470536446</v>
      </c>
      <c r="M22">
        <f t="shared" si="8"/>
        <v>0.40300606135894423</v>
      </c>
      <c r="N22">
        <f t="shared" si="9"/>
        <v>0.22639995258346635</v>
      </c>
      <c r="O22">
        <f t="shared" si="10"/>
        <v>9.1168803193718229E-2</v>
      </c>
      <c r="P22" s="3">
        <f t="shared" si="11"/>
        <v>911.68803193718225</v>
      </c>
      <c r="Q22">
        <f t="shared" si="12"/>
        <v>1E-4</v>
      </c>
      <c r="R22">
        <f t="shared" si="13"/>
        <v>2.8885473038845E-3</v>
      </c>
      <c r="S22">
        <f t="shared" si="14"/>
        <v>7.2320661579626078E-2</v>
      </c>
      <c r="T22">
        <f t="shared" si="15"/>
        <v>0.96075021019974827</v>
      </c>
      <c r="U22">
        <f t="shared" si="16"/>
        <v>9.1666666666666668E-5</v>
      </c>
      <c r="V22">
        <f t="shared" si="17"/>
        <v>2.6397762760559267E-3</v>
      </c>
      <c r="W22">
        <f t="shared" si="18"/>
        <v>0.96406875528210523</v>
      </c>
      <c r="X22">
        <f t="shared" si="19"/>
        <v>3.3185450823569607E-3</v>
      </c>
      <c r="Y22" s="3">
        <f t="shared" si="20"/>
        <v>3.0254778350288318</v>
      </c>
    </row>
    <row r="23" spans="4:25" x14ac:dyDescent="0.35">
      <c r="D23">
        <f t="shared" si="21"/>
        <v>12</v>
      </c>
      <c r="E23">
        <f t="shared" si="0"/>
        <v>1.0833333333333333</v>
      </c>
      <c r="F23">
        <f t="shared" si="1"/>
        <v>0.99729194900048768</v>
      </c>
      <c r="G23">
        <f t="shared" si="2"/>
        <v>1.0556605309157621</v>
      </c>
      <c r="H23">
        <f t="shared" si="3"/>
        <v>5.1454942263705047E-2</v>
      </c>
      <c r="I23">
        <f t="shared" si="4"/>
        <v>0.32500000000000001</v>
      </c>
      <c r="J23">
        <f t="shared" si="5"/>
        <v>0.5</v>
      </c>
      <c r="K23">
        <f t="shared" si="6"/>
        <v>0.75290988452741014</v>
      </c>
      <c r="L23">
        <f t="shared" si="7"/>
        <v>0.25290988452741014</v>
      </c>
      <c r="M23">
        <f t="shared" si="8"/>
        <v>0.40016892549507804</v>
      </c>
      <c r="N23">
        <f t="shared" si="9"/>
        <v>0.2257520339591168</v>
      </c>
      <c r="O23">
        <f t="shared" si="10"/>
        <v>8.9958469681037156E-2</v>
      </c>
      <c r="P23" s="3">
        <f t="shared" si="11"/>
        <v>899.58469681037161</v>
      </c>
      <c r="Q23">
        <f t="shared" si="12"/>
        <v>1.0833333333333333E-4</v>
      </c>
      <c r="R23">
        <f t="shared" si="13"/>
        <v>3.1388221324318878E-3</v>
      </c>
      <c r="S23">
        <f t="shared" si="14"/>
        <v>7.2320661579626078E-2</v>
      </c>
      <c r="T23">
        <f t="shared" si="15"/>
        <v>0.95742317990865233</v>
      </c>
      <c r="U23">
        <f t="shared" si="16"/>
        <v>9.9999999999999991E-5</v>
      </c>
      <c r="V23">
        <f t="shared" si="17"/>
        <v>2.8885473038845E-3</v>
      </c>
      <c r="W23">
        <f t="shared" si="18"/>
        <v>0.96075021019974827</v>
      </c>
      <c r="X23">
        <f t="shared" si="19"/>
        <v>3.3270302910959337E-3</v>
      </c>
      <c r="Y23" s="3">
        <f t="shared" si="20"/>
        <v>2.9929455356944579</v>
      </c>
    </row>
    <row r="24" spans="4:25" x14ac:dyDescent="0.35">
      <c r="D24">
        <f t="shared" si="21"/>
        <v>13</v>
      </c>
      <c r="E24">
        <f t="shared" si="0"/>
        <v>1.1666666666666667</v>
      </c>
      <c r="F24">
        <f t="shared" si="1"/>
        <v>0.99708394139467793</v>
      </c>
      <c r="G24">
        <f t="shared" si="2"/>
        <v>1.0600682929217884</v>
      </c>
      <c r="H24">
        <f t="shared" si="3"/>
        <v>5.5413014745528608E-2</v>
      </c>
      <c r="I24">
        <f t="shared" si="4"/>
        <v>0.31822916666666667</v>
      </c>
      <c r="J24">
        <f t="shared" si="5"/>
        <v>0.49476425362657989</v>
      </c>
      <c r="K24">
        <f t="shared" si="6"/>
        <v>0.75519235408263607</v>
      </c>
      <c r="L24">
        <f t="shared" si="7"/>
        <v>0.26042810045605619</v>
      </c>
      <c r="M24">
        <f t="shared" si="8"/>
        <v>0.39726678476564203</v>
      </c>
      <c r="N24">
        <f t="shared" si="9"/>
        <v>0.22506678781929795</v>
      </c>
      <c r="O24">
        <f t="shared" si="10"/>
        <v>8.8722154088180044E-2</v>
      </c>
      <c r="P24" s="3">
        <f t="shared" si="11"/>
        <v>887.22154088180048</v>
      </c>
      <c r="Q24">
        <f t="shared" si="12"/>
        <v>1.1666666666666668E-4</v>
      </c>
      <c r="R24">
        <f t="shared" si="13"/>
        <v>3.3906098520516707E-3</v>
      </c>
      <c r="S24">
        <f t="shared" si="14"/>
        <v>7.2320661579626078E-2</v>
      </c>
      <c r="T24">
        <f t="shared" si="15"/>
        <v>0.95408771198880515</v>
      </c>
      <c r="U24">
        <f t="shared" si="16"/>
        <v>1.0833333333333336E-4</v>
      </c>
      <c r="V24">
        <f t="shared" si="17"/>
        <v>3.1388221324318878E-3</v>
      </c>
      <c r="W24">
        <f t="shared" si="18"/>
        <v>0.95742317990865233</v>
      </c>
      <c r="X24">
        <f t="shared" si="19"/>
        <v>3.3354679198471793E-3</v>
      </c>
      <c r="Y24" s="3">
        <f t="shared" si="20"/>
        <v>2.9592989874086282</v>
      </c>
    </row>
    <row r="25" spans="4:25" x14ac:dyDescent="0.35">
      <c r="D25">
        <f t="shared" si="21"/>
        <v>14</v>
      </c>
      <c r="E25">
        <f t="shared" si="0"/>
        <v>1.25</v>
      </c>
      <c r="F25">
        <f t="shared" si="1"/>
        <v>0.99687597717352017</v>
      </c>
      <c r="G25">
        <f t="shared" si="2"/>
        <v>1.0644944589178593</v>
      </c>
      <c r="H25">
        <f t="shared" si="3"/>
        <v>5.9371087227351807E-2</v>
      </c>
      <c r="I25">
        <f t="shared" si="4"/>
        <v>0.31145833333333334</v>
      </c>
      <c r="J25">
        <f t="shared" si="5"/>
        <v>0.48947250518628044</v>
      </c>
      <c r="K25">
        <f t="shared" si="6"/>
        <v>0.75761031851943783</v>
      </c>
      <c r="L25">
        <f t="shared" si="7"/>
        <v>0.26813781333315739</v>
      </c>
      <c r="M25">
        <f t="shared" si="8"/>
        <v>0.39429662017491396</v>
      </c>
      <c r="N25">
        <f t="shared" si="9"/>
        <v>0.22434215056179815</v>
      </c>
      <c r="O25">
        <f t="shared" si="10"/>
        <v>8.745927360305672E-2</v>
      </c>
      <c r="P25" s="3">
        <f t="shared" si="11"/>
        <v>874.59273603056715</v>
      </c>
      <c r="Q25">
        <f t="shared" si="12"/>
        <v>1.25E-4</v>
      </c>
      <c r="R25">
        <f t="shared" si="13"/>
        <v>3.6439196080478623E-3</v>
      </c>
      <c r="S25">
        <f t="shared" si="14"/>
        <v>7.2320661579626078E-2</v>
      </c>
      <c r="T25">
        <f t="shared" si="15"/>
        <v>0.95074385491510316</v>
      </c>
      <c r="U25">
        <f t="shared" si="16"/>
        <v>1.1666666666666668E-4</v>
      </c>
      <c r="V25">
        <f t="shared" si="17"/>
        <v>3.3906098520516707E-3</v>
      </c>
      <c r="W25">
        <f t="shared" si="18"/>
        <v>0.95408771198880515</v>
      </c>
      <c r="X25">
        <f t="shared" si="19"/>
        <v>3.3438570737019946E-3</v>
      </c>
      <c r="Y25" s="3">
        <f t="shared" si="20"/>
        <v>2.9245131069841932</v>
      </c>
    </row>
    <row r="26" spans="4:25" x14ac:dyDescent="0.35">
      <c r="D26">
        <f t="shared" si="21"/>
        <v>15</v>
      </c>
      <c r="E26">
        <f t="shared" si="0"/>
        <v>1.3333333333333333</v>
      </c>
      <c r="F26">
        <f t="shared" si="1"/>
        <v>0.9966680563279654</v>
      </c>
      <c r="G26">
        <f t="shared" si="2"/>
        <v>1.0689391057472464</v>
      </c>
      <c r="H26">
        <f t="shared" si="3"/>
        <v>6.3329159709175437E-2</v>
      </c>
      <c r="I26">
        <f t="shared" si="4"/>
        <v>0.30468750000000006</v>
      </c>
      <c r="J26">
        <f t="shared" si="5"/>
        <v>0.48412291827592713</v>
      </c>
      <c r="K26">
        <f t="shared" si="6"/>
        <v>0.76017194356294338</v>
      </c>
      <c r="L26">
        <f t="shared" si="7"/>
        <v>0.27604902528701625</v>
      </c>
      <c r="M26">
        <f t="shared" si="8"/>
        <v>0.39125520591101975</v>
      </c>
      <c r="N26">
        <f t="shared" si="9"/>
        <v>0.22357590660908688</v>
      </c>
      <c r="O26">
        <f t="shared" si="10"/>
        <v>8.6169226647675595E-2</v>
      </c>
      <c r="P26" s="3">
        <f t="shared" si="11"/>
        <v>861.692266476756</v>
      </c>
      <c r="Q26">
        <f t="shared" si="12"/>
        <v>1.3333333333333334E-4</v>
      </c>
      <c r="R26">
        <f t="shared" si="13"/>
        <v>3.8987606010071137E-3</v>
      </c>
      <c r="S26">
        <f t="shared" si="14"/>
        <v>7.2320661579626078E-2</v>
      </c>
      <c r="T26">
        <f t="shared" si="15"/>
        <v>0.94739165806231229</v>
      </c>
      <c r="U26">
        <f t="shared" si="16"/>
        <v>1.25E-4</v>
      </c>
      <c r="V26">
        <f t="shared" si="17"/>
        <v>3.6439196080478623E-3</v>
      </c>
      <c r="W26">
        <f t="shared" si="18"/>
        <v>0.95074385491510316</v>
      </c>
      <c r="X26">
        <f t="shared" si="19"/>
        <v>3.3521968527908674E-3</v>
      </c>
      <c r="Y26" s="3">
        <f t="shared" si="20"/>
        <v>2.8885621037576108</v>
      </c>
    </row>
    <row r="27" spans="4:25" x14ac:dyDescent="0.35">
      <c r="D27">
        <f t="shared" si="21"/>
        <v>16</v>
      </c>
      <c r="E27">
        <f t="shared" si="0"/>
        <v>1.4166666666666667</v>
      </c>
      <c r="F27">
        <f t="shared" si="1"/>
        <v>0.99646017884896676</v>
      </c>
      <c r="G27">
        <f t="shared" si="2"/>
        <v>1.073402310574068</v>
      </c>
      <c r="H27">
        <f t="shared" si="3"/>
        <v>6.7287232190998733E-2</v>
      </c>
      <c r="I27">
        <f t="shared" si="4"/>
        <v>0.29791666666666666</v>
      </c>
      <c r="J27">
        <f t="shared" si="5"/>
        <v>0.47871355387816905</v>
      </c>
      <c r="K27">
        <f t="shared" si="6"/>
        <v>0.76288606390828984</v>
      </c>
      <c r="L27">
        <f t="shared" si="7"/>
        <v>0.28417251003012078</v>
      </c>
      <c r="M27">
        <f t="shared" si="8"/>
        <v>0.38813909061223234</v>
      </c>
      <c r="N27">
        <f t="shared" si="9"/>
        <v>0.22276567405689426</v>
      </c>
      <c r="O27">
        <f t="shared" si="10"/>
        <v>8.4851392157107797E-2</v>
      </c>
      <c r="P27" s="3">
        <f t="shared" si="11"/>
        <v>848.51392157107796</v>
      </c>
      <c r="Q27">
        <f t="shared" si="12"/>
        <v>1.4166666666666668E-4</v>
      </c>
      <c r="R27">
        <f t="shared" si="13"/>
        <v>4.1551420871328657E-3</v>
      </c>
      <c r="S27">
        <f t="shared" si="14"/>
        <v>7.2320661579626078E-2</v>
      </c>
      <c r="T27">
        <f t="shared" si="15"/>
        <v>0.94403117170996975</v>
      </c>
      <c r="U27">
        <f t="shared" si="16"/>
        <v>1.3333333333333337E-4</v>
      </c>
      <c r="V27">
        <f t="shared" si="17"/>
        <v>3.8987606010071137E-3</v>
      </c>
      <c r="W27">
        <f t="shared" si="18"/>
        <v>0.94739165806231229</v>
      </c>
      <c r="X27">
        <f t="shared" si="19"/>
        <v>3.3604863523425399E-3</v>
      </c>
      <c r="Y27" s="3">
        <f t="shared" si="20"/>
        <v>2.8514194532122557</v>
      </c>
    </row>
    <row r="28" spans="4:25" x14ac:dyDescent="0.35">
      <c r="D28">
        <f t="shared" si="21"/>
        <v>17</v>
      </c>
      <c r="E28">
        <f t="shared" si="0"/>
        <v>1.5</v>
      </c>
      <c r="F28">
        <f t="shared" si="1"/>
        <v>0.99625234472747926</v>
      </c>
      <c r="G28">
        <f t="shared" si="2"/>
        <v>1.0778841508846315</v>
      </c>
      <c r="H28">
        <f t="shared" si="3"/>
        <v>7.1245304672822335E-2</v>
      </c>
      <c r="I28">
        <f t="shared" si="4"/>
        <v>0.29114583333333338</v>
      </c>
      <c r="J28">
        <f t="shared" si="5"/>
        <v>0.4732423621500228</v>
      </c>
      <c r="K28">
        <f t="shared" si="6"/>
        <v>0.76576225416454569</v>
      </c>
      <c r="L28">
        <f t="shared" si="7"/>
        <v>0.29251989201452289</v>
      </c>
      <c r="M28">
        <f t="shared" si="8"/>
        <v>0.38494457651512637</v>
      </c>
      <c r="N28">
        <f t="shared" si="9"/>
        <v>0.22190888865319155</v>
      </c>
      <c r="O28">
        <f t="shared" si="10"/>
        <v>8.3505128847562698E-2</v>
      </c>
      <c r="P28" s="3">
        <f t="shared" si="11"/>
        <v>835.05128847562696</v>
      </c>
      <c r="Q28">
        <f t="shared" si="12"/>
        <v>1.5000000000000001E-4</v>
      </c>
      <c r="R28">
        <f t="shared" si="13"/>
        <v>4.4130733785815836E-3</v>
      </c>
      <c r="S28">
        <f t="shared" si="14"/>
        <v>7.2320661579626078E-2</v>
      </c>
      <c r="T28">
        <f t="shared" si="15"/>
        <v>0.9406624470472239</v>
      </c>
      <c r="U28">
        <f t="shared" si="16"/>
        <v>1.4166666666666668E-4</v>
      </c>
      <c r="V28">
        <f t="shared" si="17"/>
        <v>4.1551420871328657E-3</v>
      </c>
      <c r="W28">
        <f t="shared" si="18"/>
        <v>0.94403117170996975</v>
      </c>
      <c r="X28">
        <f t="shared" si="19"/>
        <v>3.3687246627458478E-3</v>
      </c>
      <c r="Y28" s="3">
        <f t="shared" si="20"/>
        <v>2.813057870145542</v>
      </c>
    </row>
    <row r="29" spans="4:25" x14ac:dyDescent="0.35">
      <c r="D29">
        <f t="shared" si="21"/>
        <v>18</v>
      </c>
      <c r="E29">
        <f t="shared" si="0"/>
        <v>1.5833333333333333</v>
      </c>
      <c r="F29">
        <f t="shared" si="1"/>
        <v>0.99604455395445957</v>
      </c>
      <c r="G29">
        <f t="shared" si="2"/>
        <v>1.0823847044887771</v>
      </c>
      <c r="H29">
        <f t="shared" si="3"/>
        <v>7.5203377154645729E-2</v>
      </c>
      <c r="I29">
        <f t="shared" si="4"/>
        <v>0.28437500000000004</v>
      </c>
      <c r="J29">
        <f t="shared" si="5"/>
        <v>0.46770717334674272</v>
      </c>
      <c r="K29">
        <f t="shared" si="6"/>
        <v>0.76881090914563799</v>
      </c>
      <c r="L29">
        <f t="shared" si="7"/>
        <v>0.30110373579889527</v>
      </c>
      <c r="M29">
        <f t="shared" si="8"/>
        <v>0.38166769619648472</v>
      </c>
      <c r="N29">
        <f t="shared" si="9"/>
        <v>0.22100278587541589</v>
      </c>
      <c r="O29">
        <f t="shared" si="10"/>
        <v>8.2129774479304057E-2</v>
      </c>
      <c r="P29" s="3">
        <f t="shared" si="11"/>
        <v>821.29774479304058</v>
      </c>
      <c r="Q29">
        <f t="shared" si="12"/>
        <v>1.5833333333333332E-4</v>
      </c>
      <c r="R29">
        <f t="shared" si="13"/>
        <v>4.6725638438009425E-3</v>
      </c>
      <c r="S29">
        <f t="shared" si="14"/>
        <v>7.2320661579626078E-2</v>
      </c>
      <c r="T29">
        <f t="shared" si="15"/>
        <v>0.93728553617761201</v>
      </c>
      <c r="U29">
        <f t="shared" si="16"/>
        <v>1.5000000000000001E-4</v>
      </c>
      <c r="V29">
        <f t="shared" si="17"/>
        <v>4.4130733785815836E-3</v>
      </c>
      <c r="W29">
        <f t="shared" si="18"/>
        <v>0.9406624470472239</v>
      </c>
      <c r="X29">
        <f t="shared" si="19"/>
        <v>3.3769108696118932E-3</v>
      </c>
      <c r="Y29" s="3">
        <f t="shared" si="20"/>
        <v>2.7734492815793534</v>
      </c>
    </row>
    <row r="30" spans="4:25" x14ac:dyDescent="0.35">
      <c r="D30">
        <f t="shared" si="21"/>
        <v>19</v>
      </c>
      <c r="E30">
        <f t="shared" si="0"/>
        <v>1.6666666666666667</v>
      </c>
      <c r="F30">
        <f t="shared" si="1"/>
        <v>0.99583680652086648</v>
      </c>
      <c r="G30">
        <f t="shared" si="2"/>
        <v>1.086904049521229</v>
      </c>
      <c r="H30">
        <f t="shared" si="3"/>
        <v>7.916144963646933E-2</v>
      </c>
      <c r="I30">
        <f t="shared" si="4"/>
        <v>0.27760416666666665</v>
      </c>
      <c r="J30">
        <f t="shared" si="5"/>
        <v>0.46210568776705901</v>
      </c>
      <c r="K30">
        <f t="shared" si="6"/>
        <v>0.77204333499347988</v>
      </c>
      <c r="L30">
        <f t="shared" si="7"/>
        <v>0.30993764722642086</v>
      </c>
      <c r="M30">
        <f t="shared" si="8"/>
        <v>0.37830418657490528</v>
      </c>
      <c r="N30">
        <f t="shared" si="9"/>
        <v>0.2200443808360493</v>
      </c>
      <c r="O30">
        <f t="shared" si="10"/>
        <v>8.0724645122017935E-2</v>
      </c>
      <c r="P30" s="3">
        <f t="shared" si="11"/>
        <v>807.24645122017932</v>
      </c>
      <c r="Q30">
        <f t="shared" si="12"/>
        <v>1.6666666666666669E-4</v>
      </c>
      <c r="R30">
        <f t="shared" si="13"/>
        <v>4.9336229078701267E-3</v>
      </c>
      <c r="S30">
        <f t="shared" si="14"/>
        <v>7.2320661579626078E-2</v>
      </c>
      <c r="T30">
        <f t="shared" si="15"/>
        <v>0.93390049212377158</v>
      </c>
      <c r="U30">
        <f t="shared" si="16"/>
        <v>1.5833333333333335E-4</v>
      </c>
      <c r="V30">
        <f t="shared" si="17"/>
        <v>4.6725638438009425E-3</v>
      </c>
      <c r="W30">
        <f t="shared" si="18"/>
        <v>0.93728553617761201</v>
      </c>
      <c r="X30">
        <f t="shared" si="19"/>
        <v>3.3850440538404358E-3</v>
      </c>
      <c r="Y30" s="3">
        <f t="shared" si="20"/>
        <v>2.7325647996866613</v>
      </c>
    </row>
    <row r="31" spans="4:25" x14ac:dyDescent="0.35">
      <c r="D31">
        <f t="shared" si="21"/>
        <v>20</v>
      </c>
      <c r="E31">
        <f t="shared" si="0"/>
        <v>1.75</v>
      </c>
      <c r="F31">
        <f t="shared" si="1"/>
        <v>0.99562910241766056</v>
      </c>
      <c r="G31">
        <f t="shared" si="2"/>
        <v>1.0914422644429518</v>
      </c>
      <c r="H31">
        <f t="shared" si="3"/>
        <v>8.3119522118292793E-2</v>
      </c>
      <c r="I31">
        <f t="shared" si="4"/>
        <v>0.27083333333333337</v>
      </c>
      <c r="J31">
        <f t="shared" si="5"/>
        <v>0.45643546458763845</v>
      </c>
      <c r="K31">
        <f t="shared" si="6"/>
        <v>0.77547185289688414</v>
      </c>
      <c r="L31">
        <f t="shared" si="7"/>
        <v>0.31903638830924569</v>
      </c>
      <c r="M31">
        <f t="shared" si="8"/>
        <v>0.37484945978374035</v>
      </c>
      <c r="N31">
        <f t="shared" si="9"/>
        <v>0.21903044570193991</v>
      </c>
      <c r="O31">
        <f t="shared" si="10"/>
        <v>7.9289034432636324E-2</v>
      </c>
      <c r="P31" s="3">
        <f t="shared" si="11"/>
        <v>792.89034432636322</v>
      </c>
      <c r="Q31">
        <f t="shared" si="12"/>
        <v>1.75E-4</v>
      </c>
      <c r="R31">
        <f t="shared" si="13"/>
        <v>5.1962600528421641E-3</v>
      </c>
      <c r="S31">
        <f t="shared" si="14"/>
        <v>7.2320661579626078E-2</v>
      </c>
      <c r="T31">
        <f t="shared" si="15"/>
        <v>0.93050736883208474</v>
      </c>
      <c r="U31">
        <f t="shared" si="16"/>
        <v>1.6666666666666669E-4</v>
      </c>
      <c r="V31">
        <f t="shared" si="17"/>
        <v>4.9336229078701267E-3</v>
      </c>
      <c r="W31">
        <f t="shared" si="18"/>
        <v>0.93390049212377158</v>
      </c>
      <c r="X31">
        <f t="shared" si="19"/>
        <v>3.3931232916868392E-3</v>
      </c>
      <c r="Y31" s="3">
        <f t="shared" si="20"/>
        <v>2.6903746950873808</v>
      </c>
    </row>
    <row r="32" spans="4:25" x14ac:dyDescent="0.35">
      <c r="D32">
        <f t="shared" si="21"/>
        <v>21</v>
      </c>
      <c r="E32">
        <f t="shared" si="0"/>
        <v>1.8333333333333333</v>
      </c>
      <c r="F32">
        <f t="shared" si="1"/>
        <v>0.99542144163580437</v>
      </c>
      <c r="G32">
        <f t="shared" si="2"/>
        <v>1.0959994280425129</v>
      </c>
      <c r="H32">
        <f t="shared" si="3"/>
        <v>8.7077594600116007E-2</v>
      </c>
      <c r="I32">
        <f t="shared" si="4"/>
        <v>0.26406250000000003</v>
      </c>
      <c r="J32">
        <f t="shared" si="5"/>
        <v>0.4506939094329987</v>
      </c>
      <c r="K32">
        <f t="shared" si="6"/>
        <v>0.77910991750891945</v>
      </c>
      <c r="L32">
        <f t="shared" si="7"/>
        <v>0.32841600807592075</v>
      </c>
      <c r="M32">
        <f t="shared" si="8"/>
        <v>0.37129857046250181</v>
      </c>
      <c r="N32">
        <f t="shared" si="9"/>
        <v>0.21795748425949507</v>
      </c>
      <c r="O32">
        <f t="shared" si="10"/>
        <v>7.7822212958654047E-2</v>
      </c>
      <c r="P32" s="3">
        <f t="shared" si="11"/>
        <v>778.22212958654052</v>
      </c>
      <c r="Q32">
        <f t="shared" si="12"/>
        <v>1.8333333333333334E-4</v>
      </c>
      <c r="R32">
        <f t="shared" si="13"/>
        <v>5.4604848180883261E-3</v>
      </c>
      <c r="S32">
        <f t="shared" si="14"/>
        <v>7.2320661579626078E-2</v>
      </c>
      <c r="T32">
        <f t="shared" si="15"/>
        <v>0.92710622117725383</v>
      </c>
      <c r="U32">
        <f t="shared" si="16"/>
        <v>1.75E-4</v>
      </c>
      <c r="V32">
        <f t="shared" si="17"/>
        <v>5.1962600528421641E-3</v>
      </c>
      <c r="W32">
        <f t="shared" si="18"/>
        <v>0.93050736883208474</v>
      </c>
      <c r="X32">
        <f t="shared" si="19"/>
        <v>3.401147654830905E-3</v>
      </c>
      <c r="Y32" s="3">
        <f t="shared" si="20"/>
        <v>2.6468483709807749</v>
      </c>
    </row>
    <row r="33" spans="4:25" x14ac:dyDescent="0.35">
      <c r="D33">
        <f t="shared" si="21"/>
        <v>22</v>
      </c>
      <c r="E33">
        <f t="shared" si="0"/>
        <v>1.9166666666666667</v>
      </c>
      <c r="F33">
        <f t="shared" si="1"/>
        <v>0.99521382416626214</v>
      </c>
      <c r="G33">
        <f t="shared" si="2"/>
        <v>1.100575619437451</v>
      </c>
      <c r="H33">
        <f t="shared" si="3"/>
        <v>9.1035667081939733E-2</v>
      </c>
      <c r="I33">
        <f t="shared" si="4"/>
        <v>0.25729166666666664</v>
      </c>
      <c r="J33">
        <f t="shared" si="5"/>
        <v>0.44487826050130463</v>
      </c>
      <c r="K33">
        <f t="shared" si="6"/>
        <v>0.78297225258006253</v>
      </c>
      <c r="L33">
        <f t="shared" si="7"/>
        <v>0.3380939920787579</v>
      </c>
      <c r="M33">
        <f t="shared" si="8"/>
        <v>0.36764617893710883</v>
      </c>
      <c r="N33">
        <f t="shared" si="9"/>
        <v>0.21682170319430555</v>
      </c>
      <c r="O33">
        <f t="shared" si="10"/>
        <v>7.6323427483851763E-2</v>
      </c>
      <c r="P33" s="3">
        <f t="shared" si="11"/>
        <v>763.23427483851765</v>
      </c>
      <c r="Q33">
        <f t="shared" si="12"/>
        <v>1.9166666666666667E-4</v>
      </c>
      <c r="R33">
        <f t="shared" si="13"/>
        <v>5.7263068006446196E-3</v>
      </c>
      <c r="S33">
        <f t="shared" si="14"/>
        <v>7.2320661579626078E-2</v>
      </c>
      <c r="T33">
        <f t="shared" si="15"/>
        <v>0.92369710496680546</v>
      </c>
      <c r="U33">
        <f t="shared" si="16"/>
        <v>1.8333333333333336E-4</v>
      </c>
      <c r="V33">
        <f t="shared" si="17"/>
        <v>5.4604848180883261E-3</v>
      </c>
      <c r="W33">
        <f t="shared" si="18"/>
        <v>0.92710622117725383</v>
      </c>
      <c r="X33">
        <f t="shared" si="19"/>
        <v>3.4091162104483708E-3</v>
      </c>
      <c r="Y33" s="3">
        <f t="shared" si="20"/>
        <v>2.6019543387217974</v>
      </c>
    </row>
    <row r="34" spans="4:25" x14ac:dyDescent="0.35">
      <c r="D34">
        <f t="shared" si="21"/>
        <v>23</v>
      </c>
      <c r="E34">
        <f t="shared" si="0"/>
        <v>2</v>
      </c>
      <c r="F34">
        <f t="shared" si="1"/>
        <v>0.99500625000000009</v>
      </c>
      <c r="G34">
        <f t="shared" si="2"/>
        <v>1.1051709180756477</v>
      </c>
      <c r="H34">
        <f t="shared" si="3"/>
        <v>9.4993739563763085E-2</v>
      </c>
      <c r="I34">
        <f t="shared" si="4"/>
        <v>0.25052083333333336</v>
      </c>
      <c r="J34">
        <f t="shared" si="5"/>
        <v>0.43898557303553082</v>
      </c>
      <c r="K34">
        <f t="shared" si="6"/>
        <v>0.78707500683429288</v>
      </c>
      <c r="L34">
        <f t="shared" si="7"/>
        <v>0.34808943379876206</v>
      </c>
      <c r="M34">
        <f t="shared" si="8"/>
        <v>0.36388650966765812</v>
      </c>
      <c r="N34">
        <f t="shared" si="9"/>
        <v>0.2156189795775888</v>
      </c>
      <c r="O34">
        <f t="shared" si="10"/>
        <v>7.4791900438262532E-2</v>
      </c>
      <c r="P34" s="3">
        <f t="shared" si="11"/>
        <v>747.9190043826253</v>
      </c>
      <c r="Q34">
        <f t="shared" si="12"/>
        <v>2.0000000000000001E-4</v>
      </c>
      <c r="R34">
        <f t="shared" si="13"/>
        <v>5.9937356555603378E-3</v>
      </c>
      <c r="S34">
        <f t="shared" si="14"/>
        <v>7.2320661579626078E-2</v>
      </c>
      <c r="T34">
        <f t="shared" si="15"/>
        <v>0.9202800769455215</v>
      </c>
      <c r="U34">
        <f t="shared" si="16"/>
        <v>1.9166666666666667E-4</v>
      </c>
      <c r="V34">
        <f t="shared" si="17"/>
        <v>5.7263068006446196E-3</v>
      </c>
      <c r="W34">
        <f t="shared" si="18"/>
        <v>0.92369710496680546</v>
      </c>
      <c r="X34">
        <f t="shared" si="19"/>
        <v>3.4170280212839632E-3</v>
      </c>
      <c r="Y34" s="3">
        <f t="shared" si="20"/>
        <v>2.5556601956262339</v>
      </c>
    </row>
    <row r="35" spans="4:25" x14ac:dyDescent="0.35">
      <c r="D35">
        <f t="shared" si="21"/>
        <v>24</v>
      </c>
      <c r="E35">
        <f t="shared" si="0"/>
        <v>2.0833333333333335</v>
      </c>
      <c r="F35">
        <f t="shared" si="1"/>
        <v>0.99479871912798645</v>
      </c>
      <c r="G35">
        <f t="shared" si="2"/>
        <v>1.1097854037367088</v>
      </c>
      <c r="H35">
        <f t="shared" si="3"/>
        <v>9.8951812045586382E-2</v>
      </c>
      <c r="I35">
        <f t="shared" si="4"/>
        <v>0.24375000000000002</v>
      </c>
      <c r="J35">
        <f t="shared" si="5"/>
        <v>0.4330127018922193</v>
      </c>
      <c r="K35">
        <f t="shared" si="6"/>
        <v>0.79143593374516741</v>
      </c>
      <c r="L35">
        <f t="shared" si="7"/>
        <v>0.35842323185294811</v>
      </c>
      <c r="M35">
        <f t="shared" si="8"/>
        <v>0.36001330423249917</v>
      </c>
      <c r="N35">
        <f t="shared" si="9"/>
        <v>0.21434482396024607</v>
      </c>
      <c r="O35">
        <f t="shared" si="10"/>
        <v>7.3226829400525828E-2</v>
      </c>
      <c r="P35" s="3">
        <f t="shared" si="11"/>
        <v>732.26829400525833</v>
      </c>
      <c r="Q35">
        <f t="shared" si="12"/>
        <v>2.0833333333333335E-4</v>
      </c>
      <c r="R35">
        <f t="shared" si="13"/>
        <v>6.2627810962487835E-3</v>
      </c>
      <c r="S35">
        <f t="shared" si="14"/>
        <v>7.2320661579626078E-2</v>
      </c>
      <c r="T35">
        <f t="shared" si="15"/>
        <v>0.91685519479979405</v>
      </c>
      <c r="U35">
        <f t="shared" si="16"/>
        <v>2.0000000000000001E-4</v>
      </c>
      <c r="V35">
        <f t="shared" si="17"/>
        <v>5.9937356555603378E-3</v>
      </c>
      <c r="W35">
        <f t="shared" si="18"/>
        <v>0.9202800769455215</v>
      </c>
      <c r="X35">
        <f t="shared" si="19"/>
        <v>3.4248821457274481E-3</v>
      </c>
      <c r="Y35" s="3">
        <f t="shared" si="20"/>
        <v>2.5079326060209071</v>
      </c>
    </row>
    <row r="36" spans="4:25" x14ac:dyDescent="0.35">
      <c r="D36">
        <f t="shared" si="21"/>
        <v>25</v>
      </c>
      <c r="E36">
        <f t="shared" si="0"/>
        <v>2.1666666666666665</v>
      </c>
      <c r="F36">
        <f t="shared" si="1"/>
        <v>0.99459123154119133</v>
      </c>
      <c r="G36">
        <f t="shared" si="2"/>
        <v>1.1144191565333486</v>
      </c>
      <c r="H36">
        <f t="shared" si="3"/>
        <v>0.10290988452740991</v>
      </c>
      <c r="I36">
        <f t="shared" si="4"/>
        <v>0.23697916666666669</v>
      </c>
      <c r="J36">
        <f t="shared" si="5"/>
        <v>0.4269562819149833</v>
      </c>
      <c r="K36">
        <f t="shared" si="6"/>
        <v>0.7960745996512969</v>
      </c>
      <c r="L36">
        <f t="shared" si="7"/>
        <v>0.36911831773631359</v>
      </c>
      <c r="M36">
        <f t="shared" si="8"/>
        <v>0.3560197679852668</v>
      </c>
      <c r="N36">
        <f t="shared" si="9"/>
        <v>0.21299433836484077</v>
      </c>
      <c r="O36">
        <f t="shared" si="10"/>
        <v>7.1627386728839948E-2</v>
      </c>
      <c r="P36" s="3">
        <f t="shared" si="11"/>
        <v>716.27386728839952</v>
      </c>
      <c r="Q36">
        <f t="shared" si="12"/>
        <v>2.1666666666666666E-4</v>
      </c>
      <c r="R36">
        <f t="shared" si="13"/>
        <v>6.533452894840041E-3</v>
      </c>
      <c r="S36">
        <f t="shared" si="14"/>
        <v>7.2320661579626078E-2</v>
      </c>
      <c r="T36">
        <f t="shared" si="15"/>
        <v>0.91342251716190437</v>
      </c>
      <c r="U36">
        <f t="shared" si="16"/>
        <v>2.0833333333333332E-4</v>
      </c>
      <c r="V36">
        <f t="shared" si="17"/>
        <v>6.2627810962487835E-3</v>
      </c>
      <c r="W36">
        <f t="shared" si="18"/>
        <v>0.91685519479979405</v>
      </c>
      <c r="X36">
        <f t="shared" si="19"/>
        <v>3.4326776378896806E-3</v>
      </c>
      <c r="Y36" s="3">
        <f t="shared" si="20"/>
        <v>2.4587372868456496</v>
      </c>
    </row>
    <row r="37" spans="4:25" x14ac:dyDescent="0.35">
      <c r="D37">
        <f t="shared" si="21"/>
        <v>26</v>
      </c>
      <c r="E37">
        <f t="shared" si="0"/>
        <v>2.25</v>
      </c>
      <c r="F37">
        <f t="shared" si="1"/>
        <v>0.9943837872305864</v>
      </c>
      <c r="G37">
        <f t="shared" si="2"/>
        <v>1.1190722569127807</v>
      </c>
      <c r="H37">
        <f t="shared" si="3"/>
        <v>0.1068679570092336</v>
      </c>
      <c r="I37">
        <f t="shared" si="4"/>
        <v>0.23020833333333335</v>
      </c>
      <c r="J37">
        <f t="shared" si="5"/>
        <v>0.42081270576508661</v>
      </c>
      <c r="K37">
        <f t="shared" si="6"/>
        <v>0.80101262562812325</v>
      </c>
      <c r="L37">
        <f t="shared" si="7"/>
        <v>0.38019991986303664</v>
      </c>
      <c r="M37">
        <f t="shared" si="8"/>
        <v>0.35189850936204248</v>
      </c>
      <c r="N37">
        <f t="shared" si="9"/>
        <v>0.21156216833196667</v>
      </c>
      <c r="O37">
        <f t="shared" si="10"/>
        <v>6.9992719367092976E-2</v>
      </c>
      <c r="P37" s="3">
        <f t="shared" si="11"/>
        <v>699.9271936709298</v>
      </c>
      <c r="Q37">
        <f t="shared" si="12"/>
        <v>2.2500000000000002E-4</v>
      </c>
      <c r="R37">
        <f t="shared" si="13"/>
        <v>6.8057608825359463E-3</v>
      </c>
      <c r="S37">
        <f t="shared" si="14"/>
        <v>7.2320661579626078E-2</v>
      </c>
      <c r="T37">
        <f t="shared" si="15"/>
        <v>0.90998210361422061</v>
      </c>
      <c r="U37">
        <f t="shared" si="16"/>
        <v>2.1666666666666666E-4</v>
      </c>
      <c r="V37">
        <f t="shared" si="17"/>
        <v>6.533452894840041E-3</v>
      </c>
      <c r="W37">
        <f t="shared" si="18"/>
        <v>0.91342251716190437</v>
      </c>
      <c r="X37">
        <f t="shared" si="19"/>
        <v>3.4404135476837627E-3</v>
      </c>
      <c r="Y37" s="3">
        <f t="shared" si="20"/>
        <v>2.4080389994977436</v>
      </c>
    </row>
    <row r="38" spans="4:25" x14ac:dyDescent="0.35">
      <c r="D38">
        <f t="shared" si="21"/>
        <v>27</v>
      </c>
      <c r="E38">
        <f t="shared" si="0"/>
        <v>2.3333333333333335</v>
      </c>
      <c r="F38">
        <f t="shared" si="1"/>
        <v>0.99417638618714554</v>
      </c>
      <c r="G38">
        <f t="shared" si="2"/>
        <v>1.1237447856581144</v>
      </c>
      <c r="H38">
        <f t="shared" si="3"/>
        <v>0.11082602949105706</v>
      </c>
      <c r="I38">
        <f t="shared" si="4"/>
        <v>0.22343750000000001</v>
      </c>
      <c r="J38">
        <f t="shared" si="5"/>
        <v>0.41457809879442498</v>
      </c>
      <c r="K38">
        <f t="shared" si="6"/>
        <v>0.80627396976126053</v>
      </c>
      <c r="L38">
        <f t="shared" si="7"/>
        <v>0.39169587096683556</v>
      </c>
      <c r="M38">
        <f t="shared" si="8"/>
        <v>0.34764147062270584</v>
      </c>
      <c r="N38">
        <f t="shared" si="9"/>
        <v>0.21004244801479441</v>
      </c>
      <c r="O38">
        <f t="shared" si="10"/>
        <v>6.8321948886121253E-2</v>
      </c>
      <c r="P38" s="3">
        <f t="shared" si="11"/>
        <v>683.21948886121254</v>
      </c>
      <c r="Q38">
        <f t="shared" si="12"/>
        <v>2.3333333333333336E-4</v>
      </c>
      <c r="R38">
        <f t="shared" si="13"/>
        <v>7.0797149499671414E-3</v>
      </c>
      <c r="S38">
        <f t="shared" si="14"/>
        <v>7.2320661579626078E-2</v>
      </c>
      <c r="T38">
        <f t="shared" si="15"/>
        <v>0.9065340146933154</v>
      </c>
      <c r="U38">
        <f t="shared" si="16"/>
        <v>2.2500000000000002E-4</v>
      </c>
      <c r="V38">
        <f t="shared" si="17"/>
        <v>6.8057608825359463E-3</v>
      </c>
      <c r="W38">
        <f t="shared" si="18"/>
        <v>0.90998210361422061</v>
      </c>
      <c r="X38">
        <f t="shared" si="19"/>
        <v>3.4480889209052012E-3</v>
      </c>
      <c r="Y38" s="3">
        <f t="shared" si="20"/>
        <v>2.3558015500888616</v>
      </c>
    </row>
    <row r="39" spans="4:25" x14ac:dyDescent="0.35">
      <c r="D39">
        <f t="shared" si="21"/>
        <v>28</v>
      </c>
      <c r="E39">
        <f t="shared" si="0"/>
        <v>2.4166666666666665</v>
      </c>
      <c r="F39">
        <f t="shared" si="1"/>
        <v>0.99396902840184442</v>
      </c>
      <c r="G39">
        <f t="shared" si="2"/>
        <v>1.128436823889758</v>
      </c>
      <c r="H39">
        <f t="shared" si="3"/>
        <v>0.11478410197288046</v>
      </c>
      <c r="I39">
        <f t="shared" si="4"/>
        <v>0.2166666666666667</v>
      </c>
      <c r="J39">
        <f t="shared" si="5"/>
        <v>0.40824829046386302</v>
      </c>
      <c r="K39">
        <f t="shared" si="6"/>
        <v>0.81188525802017097</v>
      </c>
      <c r="L39">
        <f t="shared" si="7"/>
        <v>0.40363696755630796</v>
      </c>
      <c r="M39">
        <f t="shared" si="8"/>
        <v>0.34323984857581802</v>
      </c>
      <c r="N39">
        <f t="shared" si="9"/>
        <v>0.20842873711706461</v>
      </c>
      <c r="O39">
        <f t="shared" si="10"/>
        <v>6.6614171837331954E-2</v>
      </c>
      <c r="P39" s="3">
        <f t="shared" si="11"/>
        <v>666.14171837331958</v>
      </c>
      <c r="Q39">
        <f t="shared" si="12"/>
        <v>2.4166666666666667E-4</v>
      </c>
      <c r="R39">
        <f t="shared" si="13"/>
        <v>7.3553250475523364E-3</v>
      </c>
      <c r="S39">
        <f t="shared" si="14"/>
        <v>7.2320661579626078E-2</v>
      </c>
      <c r="T39">
        <f t="shared" si="15"/>
        <v>0.9030783118939989</v>
      </c>
      <c r="U39">
        <f t="shared" si="16"/>
        <v>2.333333333333333E-4</v>
      </c>
      <c r="V39">
        <f t="shared" si="17"/>
        <v>7.0797149499671414E-3</v>
      </c>
      <c r="W39">
        <f t="shared" si="18"/>
        <v>0.9065340146933154</v>
      </c>
      <c r="X39">
        <f t="shared" si="19"/>
        <v>3.4557027993165068E-3</v>
      </c>
      <c r="Y39" s="3">
        <f t="shared" si="20"/>
        <v>2.3019878009241888</v>
      </c>
    </row>
    <row r="40" spans="4:25" x14ac:dyDescent="0.35">
      <c r="D40">
        <f t="shared" si="21"/>
        <v>29</v>
      </c>
      <c r="E40">
        <f t="shared" si="0"/>
        <v>2.5</v>
      </c>
      <c r="F40">
        <f t="shared" si="1"/>
        <v>0.99376171386566059</v>
      </c>
      <c r="G40">
        <f t="shared" si="2"/>
        <v>1.1331484530668263</v>
      </c>
      <c r="H40">
        <f t="shared" si="3"/>
        <v>0.11874217445470388</v>
      </c>
      <c r="I40">
        <f t="shared" si="4"/>
        <v>0.20989583333333336</v>
      </c>
      <c r="J40">
        <f t="shared" si="5"/>
        <v>0.40181878170803981</v>
      </c>
      <c r="K40">
        <f t="shared" si="6"/>
        <v>0.81787617390872625</v>
      </c>
      <c r="L40">
        <f t="shared" si="7"/>
        <v>0.41605739220068644</v>
      </c>
      <c r="M40">
        <f t="shared" si="8"/>
        <v>0.33868400355007811</v>
      </c>
      <c r="N40">
        <f t="shared" si="9"/>
        <v>0.20671394822658648</v>
      </c>
      <c r="O40">
        <f t="shared" si="10"/>
        <v>6.4868460518401699E-2</v>
      </c>
      <c r="P40" s="3">
        <f t="shared" si="11"/>
        <v>648.68460518401696</v>
      </c>
      <c r="Q40">
        <f t="shared" si="12"/>
        <v>2.5000000000000001E-4</v>
      </c>
      <c r="R40">
        <f t="shared" si="13"/>
        <v>7.632601185859701E-3</v>
      </c>
      <c r="S40">
        <f t="shared" si="14"/>
        <v>7.2320661579626078E-2</v>
      </c>
      <c r="T40">
        <f t="shared" si="15"/>
        <v>0.89961505767326599</v>
      </c>
      <c r="U40">
        <f t="shared" si="16"/>
        <v>2.4166666666666667E-4</v>
      </c>
      <c r="V40">
        <f t="shared" si="17"/>
        <v>7.3553250475523364E-3</v>
      </c>
      <c r="W40">
        <f t="shared" si="18"/>
        <v>0.9030783118939989</v>
      </c>
      <c r="X40">
        <f t="shared" si="19"/>
        <v>3.4632542207329031E-3</v>
      </c>
      <c r="Y40" s="3">
        <f t="shared" si="20"/>
        <v>2.2465596968280037</v>
      </c>
    </row>
    <row r="41" spans="4:25" x14ac:dyDescent="0.35">
      <c r="D41">
        <f t="shared" si="21"/>
        <v>30</v>
      </c>
      <c r="E41">
        <f t="shared" si="0"/>
        <v>2.5833333333333335</v>
      </c>
      <c r="F41">
        <f t="shared" si="1"/>
        <v>0.99355444256957348</v>
      </c>
      <c r="G41">
        <f t="shared" si="2"/>
        <v>1.1378797549885555</v>
      </c>
      <c r="H41">
        <f t="shared" si="3"/>
        <v>0.12270024693652722</v>
      </c>
      <c r="I41">
        <f t="shared" si="4"/>
        <v>0.203125</v>
      </c>
      <c r="J41">
        <f t="shared" si="5"/>
        <v>0.39528470752104744</v>
      </c>
      <c r="K41">
        <f t="shared" si="6"/>
        <v>0.82427991960498048</v>
      </c>
      <c r="L41">
        <f t="shared" si="7"/>
        <v>0.42899521208393304</v>
      </c>
      <c r="M41">
        <f t="shared" si="8"/>
        <v>0.33396335452491172</v>
      </c>
      <c r="N41">
        <f t="shared" si="9"/>
        <v>0.20489026279718039</v>
      </c>
      <c r="O41">
        <f t="shared" si="10"/>
        <v>6.3083864280088775E-2</v>
      </c>
      <c r="P41" s="3">
        <f t="shared" si="11"/>
        <v>630.83864280088778</v>
      </c>
      <c r="Q41">
        <f t="shared" si="12"/>
        <v>2.5833333333333334E-4</v>
      </c>
      <c r="R41">
        <f t="shared" si="13"/>
        <v>7.9115534359705132E-3</v>
      </c>
      <c r="S41">
        <f t="shared" si="14"/>
        <v>7.2320661579626078E-2</v>
      </c>
      <c r="T41">
        <f t="shared" si="15"/>
        <v>0.89614431545415552</v>
      </c>
      <c r="U41">
        <f t="shared" si="16"/>
        <v>2.5000000000000001E-4</v>
      </c>
      <c r="V41">
        <f t="shared" si="17"/>
        <v>7.632601185859701E-3</v>
      </c>
      <c r="W41">
        <f t="shared" si="18"/>
        <v>0.89961505767326599</v>
      </c>
      <c r="X41">
        <f t="shared" si="19"/>
        <v>3.4707422191104786E-3</v>
      </c>
      <c r="Y41" s="3">
        <f t="shared" si="20"/>
        <v>2.1894783110153959</v>
      </c>
    </row>
    <row r="42" spans="4:25" x14ac:dyDescent="0.35">
      <c r="D42">
        <f t="shared" si="21"/>
        <v>31</v>
      </c>
      <c r="E42">
        <f t="shared" si="0"/>
        <v>2.6666666666666665</v>
      </c>
      <c r="F42">
        <f t="shared" si="1"/>
        <v>0.99334721450456442</v>
      </c>
      <c r="G42">
        <f t="shared" si="2"/>
        <v>1.1426308117957227</v>
      </c>
      <c r="H42">
        <f t="shared" si="3"/>
        <v>0.12665831941835082</v>
      </c>
      <c r="I42">
        <f t="shared" si="4"/>
        <v>0.19635416666666669</v>
      </c>
      <c r="J42">
        <f t="shared" si="5"/>
        <v>0.38864079387870065</v>
      </c>
      <c r="K42">
        <f t="shared" si="6"/>
        <v>0.83113376457807853</v>
      </c>
      <c r="L42">
        <f t="shared" si="7"/>
        <v>0.44249297069937787</v>
      </c>
      <c r="M42">
        <f t="shared" si="8"/>
        <v>0.32906625790217087</v>
      </c>
      <c r="N42">
        <f t="shared" si="9"/>
        <v>0.20294903366264308</v>
      </c>
      <c r="O42">
        <f t="shared" si="10"/>
        <v>6.1259411541675246E-2</v>
      </c>
      <c r="P42" s="3">
        <f t="shared" si="11"/>
        <v>612.59411541675252</v>
      </c>
      <c r="Q42">
        <f t="shared" si="12"/>
        <v>2.6666666666666668E-4</v>
      </c>
      <c r="R42">
        <f t="shared" si="13"/>
        <v>8.1921919298448848E-3</v>
      </c>
      <c r="S42">
        <f t="shared" si="14"/>
        <v>7.2320661579626078E-2</v>
      </c>
      <c r="T42">
        <f t="shared" si="15"/>
        <v>0.89266614962951896</v>
      </c>
      <c r="U42">
        <f t="shared" si="16"/>
        <v>2.5833333333333334E-4</v>
      </c>
      <c r="V42">
        <f t="shared" si="17"/>
        <v>7.9115534359705132E-3</v>
      </c>
      <c r="W42">
        <f t="shared" si="18"/>
        <v>0.89614431545415552</v>
      </c>
      <c r="X42">
        <f t="shared" si="19"/>
        <v>3.4781658246365588E-3</v>
      </c>
      <c r="Y42" s="3">
        <f t="shared" si="20"/>
        <v>2.1307039166160124</v>
      </c>
    </row>
    <row r="43" spans="4:25" x14ac:dyDescent="0.35">
      <c r="D43">
        <f t="shared" si="21"/>
        <v>32</v>
      </c>
      <c r="E43">
        <f t="shared" si="0"/>
        <v>2.75</v>
      </c>
      <c r="F43">
        <f t="shared" si="1"/>
        <v>0.99314002966161652</v>
      </c>
      <c r="G43">
        <f t="shared" si="2"/>
        <v>1.1474017059720723</v>
      </c>
      <c r="H43">
        <f t="shared" si="3"/>
        <v>0.13061639190017424</v>
      </c>
      <c r="I43">
        <f t="shared" si="4"/>
        <v>0.18958333333333335</v>
      </c>
      <c r="J43">
        <f t="shared" si="5"/>
        <v>0.38188130791298669</v>
      </c>
      <c r="K43">
        <f t="shared" si="6"/>
        <v>0.83847970193520571</v>
      </c>
      <c r="L43">
        <f t="shared" si="7"/>
        <v>0.45659839402221902</v>
      </c>
      <c r="M43">
        <f t="shared" si="8"/>
        <v>0.32397986687015745</v>
      </c>
      <c r="N43">
        <f t="shared" si="9"/>
        <v>0.20088067150845437</v>
      </c>
      <c r="O43">
        <f t="shared" si="10"/>
        <v>5.9394112733306775E-2</v>
      </c>
      <c r="P43" s="3">
        <f t="shared" si="11"/>
        <v>593.9411273330677</v>
      </c>
      <c r="Q43">
        <f t="shared" si="12"/>
        <v>2.7500000000000002E-4</v>
      </c>
      <c r="R43">
        <f t="shared" si="13"/>
        <v>8.4745268606898193E-3</v>
      </c>
      <c r="S43">
        <f t="shared" si="14"/>
        <v>7.2320661579626078E-2</v>
      </c>
      <c r="T43">
        <f t="shared" si="15"/>
        <v>0.88918062556569744</v>
      </c>
      <c r="U43">
        <f t="shared" si="16"/>
        <v>2.6666666666666668E-4</v>
      </c>
      <c r="V43">
        <f t="shared" si="17"/>
        <v>8.1921919298448848E-3</v>
      </c>
      <c r="W43">
        <f t="shared" si="18"/>
        <v>0.89266614962951896</v>
      </c>
      <c r="X43">
        <f t="shared" si="19"/>
        <v>3.4855240638215212E-3</v>
      </c>
      <c r="Y43" s="3">
        <f t="shared" si="20"/>
        <v>2.0701960918126896</v>
      </c>
    </row>
    <row r="44" spans="4:25" x14ac:dyDescent="0.35">
      <c r="D44">
        <f t="shared" si="21"/>
        <v>33</v>
      </c>
      <c r="E44">
        <f t="shared" si="0"/>
        <v>2.8333333333333335</v>
      </c>
      <c r="F44">
        <f t="shared" si="1"/>
        <v>0.99293288803171487</v>
      </c>
      <c r="G44">
        <f t="shared" si="2"/>
        <v>1.1521925203457479</v>
      </c>
      <c r="H44">
        <f t="shared" si="3"/>
        <v>0.1345744643819976</v>
      </c>
      <c r="I44">
        <f t="shared" si="4"/>
        <v>0.18281250000000002</v>
      </c>
      <c r="J44">
        <f t="shared" si="5"/>
        <v>0.375</v>
      </c>
      <c r="K44">
        <f t="shared" si="6"/>
        <v>0.84636523835199373</v>
      </c>
      <c r="L44">
        <f t="shared" si="7"/>
        <v>0.47136523835199373</v>
      </c>
      <c r="M44">
        <f t="shared" si="8"/>
        <v>0.31868996765477275</v>
      </c>
      <c r="N44">
        <f t="shared" si="9"/>
        <v>0.19867451215716542</v>
      </c>
      <c r="O44">
        <f t="shared" si="10"/>
        <v>5.7486964450838979E-2</v>
      </c>
      <c r="P44" s="3">
        <f t="shared" si="11"/>
        <v>574.8696445083898</v>
      </c>
      <c r="Q44">
        <f t="shared" si="12"/>
        <v>2.8333333333333335E-4</v>
      </c>
      <c r="R44">
        <f t="shared" si="13"/>
        <v>8.7585684833294489E-3</v>
      </c>
      <c r="S44">
        <f t="shared" si="14"/>
        <v>7.2320661579626078E-2</v>
      </c>
      <c r="T44">
        <f t="shared" si="15"/>
        <v>0.88568780960610194</v>
      </c>
      <c r="U44">
        <f t="shared" si="16"/>
        <v>2.7500000000000002E-4</v>
      </c>
      <c r="V44">
        <f t="shared" si="17"/>
        <v>8.4745268606898193E-3</v>
      </c>
      <c r="W44">
        <f t="shared" si="18"/>
        <v>0.88918062556569744</v>
      </c>
      <c r="X44">
        <f t="shared" si="19"/>
        <v>3.4928159595954966E-3</v>
      </c>
      <c r="Y44" s="3">
        <f t="shared" si="20"/>
        <v>2.0079138690258933</v>
      </c>
    </row>
    <row r="45" spans="4:25" x14ac:dyDescent="0.35">
      <c r="D45">
        <f t="shared" si="21"/>
        <v>34</v>
      </c>
      <c r="E45">
        <f t="shared" si="0"/>
        <v>2.9166666666666665</v>
      </c>
      <c r="F45">
        <f t="shared" si="1"/>
        <v>0.99272578960584645</v>
      </c>
      <c r="G45">
        <f t="shared" si="2"/>
        <v>1.1570033380907307</v>
      </c>
      <c r="H45">
        <f t="shared" si="3"/>
        <v>0.13853253686382103</v>
      </c>
      <c r="I45">
        <f t="shared" si="4"/>
        <v>0.17604166666666671</v>
      </c>
      <c r="J45">
        <f t="shared" si="5"/>
        <v>0.36799003609699366</v>
      </c>
      <c r="K45">
        <f t="shared" si="6"/>
        <v>0.85484435086055766</v>
      </c>
      <c r="L45">
        <f t="shared" si="7"/>
        <v>0.486854314763564</v>
      </c>
      <c r="M45">
        <f t="shared" si="8"/>
        <v>0.31318078813852063</v>
      </c>
      <c r="N45">
        <f t="shared" si="9"/>
        <v>0.19631866081181387</v>
      </c>
      <c r="O45">
        <f t="shared" si="10"/>
        <v>5.5536955198730364E-2</v>
      </c>
      <c r="P45" s="3">
        <f t="shared" si="11"/>
        <v>555.36955198730368</v>
      </c>
      <c r="Q45">
        <f t="shared" si="12"/>
        <v>2.9166666666666669E-4</v>
      </c>
      <c r="R45">
        <f t="shared" si="13"/>
        <v>9.0443271145774617E-3</v>
      </c>
      <c r="S45">
        <f t="shared" si="14"/>
        <v>7.2320661579626078E-2</v>
      </c>
      <c r="T45">
        <f t="shared" si="15"/>
        <v>0.88218776907469965</v>
      </c>
      <c r="U45">
        <f t="shared" si="16"/>
        <v>2.833333333333333E-4</v>
      </c>
      <c r="V45">
        <f t="shared" si="17"/>
        <v>8.7585684833294489E-3</v>
      </c>
      <c r="W45">
        <f t="shared" si="18"/>
        <v>0.88568780960610194</v>
      </c>
      <c r="X45">
        <f t="shared" si="19"/>
        <v>3.5000405314022931E-3</v>
      </c>
      <c r="Y45" s="3">
        <f t="shared" si="20"/>
        <v>1.9438159418622958</v>
      </c>
    </row>
    <row r="46" spans="4:25" x14ac:dyDescent="0.35">
      <c r="D46">
        <f t="shared" si="21"/>
        <v>35</v>
      </c>
      <c r="E46">
        <f t="shared" si="0"/>
        <v>3</v>
      </c>
      <c r="F46">
        <f t="shared" si="1"/>
        <v>0.99251873437500016</v>
      </c>
      <c r="G46">
        <f t="shared" si="2"/>
        <v>1.1618342427282831</v>
      </c>
      <c r="H46">
        <f t="shared" si="3"/>
        <v>0.14249060934564453</v>
      </c>
      <c r="I46">
        <f t="shared" si="4"/>
        <v>0.16927083333333334</v>
      </c>
      <c r="J46">
        <f t="shared" si="5"/>
        <v>0.36084391824351614</v>
      </c>
      <c r="K46">
        <f t="shared" si="6"/>
        <v>0.8639786536975389</v>
      </c>
      <c r="L46">
        <f t="shared" si="7"/>
        <v>0.50313473545402276</v>
      </c>
      <c r="M46">
        <f t="shared" si="8"/>
        <v>0.30743477331603608</v>
      </c>
      <c r="N46">
        <f t="shared" si="9"/>
        <v>0.19379980850997935</v>
      </c>
      <c r="O46">
        <f t="shared" si="10"/>
        <v>5.3543073217445919E-2</v>
      </c>
      <c r="P46" s="3">
        <f t="shared" si="11"/>
        <v>535.43073217445919</v>
      </c>
      <c r="Q46">
        <f t="shared" si="12"/>
        <v>3.0000000000000003E-4</v>
      </c>
      <c r="R46">
        <f t="shared" si="13"/>
        <v>9.3318131336118642E-3</v>
      </c>
      <c r="S46">
        <f t="shared" si="14"/>
        <v>7.2320661579626078E-2</v>
      </c>
      <c r="T46">
        <f t="shared" si="15"/>
        <v>0.87868057227939733</v>
      </c>
      <c r="U46">
        <f t="shared" si="16"/>
        <v>2.9166666666666669E-4</v>
      </c>
      <c r="V46">
        <f t="shared" si="17"/>
        <v>9.0443271145774617E-3</v>
      </c>
      <c r="W46">
        <f t="shared" si="18"/>
        <v>0.88218776907469965</v>
      </c>
      <c r="X46">
        <f t="shared" si="19"/>
        <v>3.5071967953023142E-3</v>
      </c>
      <c r="Y46" s="3">
        <f t="shared" si="20"/>
        <v>1.877860947988635</v>
      </c>
    </row>
    <row r="47" spans="4:25" x14ac:dyDescent="0.35">
      <c r="D47">
        <f t="shared" si="21"/>
        <v>36</v>
      </c>
      <c r="E47">
        <f t="shared" si="0"/>
        <v>3.0833333333333335</v>
      </c>
      <c r="F47">
        <f t="shared" si="1"/>
        <v>0.99231172233016662</v>
      </c>
      <c r="G47">
        <f t="shared" si="2"/>
        <v>1.1666853181283983</v>
      </c>
      <c r="H47">
        <f t="shared" si="3"/>
        <v>0.14644868182746801</v>
      </c>
      <c r="I47">
        <f t="shared" si="4"/>
        <v>0.16249999999999998</v>
      </c>
      <c r="J47">
        <f t="shared" si="5"/>
        <v>0.35355339059327373</v>
      </c>
      <c r="K47">
        <f t="shared" si="6"/>
        <v>0.87383883183539091</v>
      </c>
      <c r="L47">
        <f t="shared" si="7"/>
        <v>0.52028544124211717</v>
      </c>
      <c r="M47">
        <f t="shared" si="8"/>
        <v>0.30143232079468651</v>
      </c>
      <c r="N47">
        <f t="shared" si="9"/>
        <v>0.19110301492048432</v>
      </c>
      <c r="O47">
        <f t="shared" si="10"/>
        <v>5.1504317055659693E-2</v>
      </c>
      <c r="P47" s="3">
        <f t="shared" si="11"/>
        <v>515.04317055659692</v>
      </c>
      <c r="Q47">
        <f t="shared" si="12"/>
        <v>3.0833333333333337E-4</v>
      </c>
      <c r="R47">
        <f t="shared" si="13"/>
        <v>9.6210369823519389E-3</v>
      </c>
      <c r="S47">
        <f t="shared" si="14"/>
        <v>7.2320661579626078E-2</v>
      </c>
      <c r="T47">
        <f t="shared" si="15"/>
        <v>0.87516628851532685</v>
      </c>
      <c r="U47">
        <f t="shared" si="16"/>
        <v>3.0000000000000003E-4</v>
      </c>
      <c r="V47">
        <f t="shared" si="17"/>
        <v>9.3318131336118642E-3</v>
      </c>
      <c r="W47">
        <f t="shared" si="18"/>
        <v>0.87868057227939733</v>
      </c>
      <c r="X47">
        <f t="shared" si="19"/>
        <v>3.5142837640704805E-3</v>
      </c>
      <c r="Y47" s="3">
        <f t="shared" si="20"/>
        <v>1.8100078520824319</v>
      </c>
    </row>
    <row r="48" spans="4:25" x14ac:dyDescent="0.35">
      <c r="D48">
        <f t="shared" si="21"/>
        <v>37</v>
      </c>
      <c r="E48">
        <f t="shared" si="0"/>
        <v>3.1666666666666665</v>
      </c>
      <c r="F48">
        <f t="shared" si="1"/>
        <v>0.9921047534623384</v>
      </c>
      <c r="G48">
        <f t="shared" si="2"/>
        <v>1.1715566485112574</v>
      </c>
      <c r="H48">
        <f t="shared" si="3"/>
        <v>0.15040675430929154</v>
      </c>
      <c r="I48">
        <f t="shared" si="4"/>
        <v>0.15572916666666667</v>
      </c>
      <c r="J48">
        <f t="shared" si="5"/>
        <v>0.34610932762158647</v>
      </c>
      <c r="K48">
        <f t="shared" si="6"/>
        <v>0.88450641616532044</v>
      </c>
      <c r="L48">
        <f t="shared" si="7"/>
        <v>0.53839708854373391</v>
      </c>
      <c r="M48">
        <f t="shared" si="8"/>
        <v>0.29515146797910774</v>
      </c>
      <c r="N48">
        <f t="shared" si="9"/>
        <v>0.18821145020353319</v>
      </c>
      <c r="O48">
        <f t="shared" si="10"/>
        <v>4.9419709771283349E-2</v>
      </c>
      <c r="P48" s="3">
        <f t="shared" si="11"/>
        <v>494.19709771283351</v>
      </c>
      <c r="Q48">
        <f t="shared" si="12"/>
        <v>3.1666666666666665E-4</v>
      </c>
      <c r="R48">
        <f t="shared" si="13"/>
        <v>9.9120091658375445E-3</v>
      </c>
      <c r="S48">
        <f t="shared" si="14"/>
        <v>7.2320661579626078E-2</v>
      </c>
      <c r="T48">
        <f t="shared" si="15"/>
        <v>0.87164498806802315</v>
      </c>
      <c r="U48">
        <f t="shared" si="16"/>
        <v>3.0833333333333331E-4</v>
      </c>
      <c r="V48">
        <f t="shared" si="17"/>
        <v>9.6210369823519389E-3</v>
      </c>
      <c r="W48">
        <f t="shared" si="18"/>
        <v>0.87516628851532685</v>
      </c>
      <c r="X48">
        <f t="shared" si="19"/>
        <v>3.5213004473036991E-3</v>
      </c>
      <c r="Y48" s="3">
        <f t="shared" si="20"/>
        <v>1.7402164612323905</v>
      </c>
    </row>
    <row r="49" spans="4:25" x14ac:dyDescent="0.35">
      <c r="D49">
        <f t="shared" si="21"/>
        <v>38</v>
      </c>
      <c r="E49">
        <f t="shared" si="0"/>
        <v>3.25</v>
      </c>
      <c r="F49">
        <f t="shared" si="1"/>
        <v>0.99189782776251001</v>
      </c>
      <c r="G49">
        <f t="shared" si="2"/>
        <v>1.1764483184486905</v>
      </c>
      <c r="H49">
        <f t="shared" si="3"/>
        <v>0.15436482679111496</v>
      </c>
      <c r="I49">
        <f t="shared" si="4"/>
        <v>0.14895833333333333</v>
      </c>
      <c r="J49">
        <f t="shared" si="5"/>
        <v>0.338501600193165</v>
      </c>
      <c r="K49">
        <f t="shared" si="6"/>
        <v>0.89607600067874937</v>
      </c>
      <c r="L49">
        <f t="shared" si="7"/>
        <v>0.55757440048558438</v>
      </c>
      <c r="M49">
        <f t="shared" si="8"/>
        <v>0.2885675206259497</v>
      </c>
      <c r="N49">
        <f t="shared" si="9"/>
        <v>0.18510608687631142</v>
      </c>
      <c r="O49">
        <f t="shared" si="10"/>
        <v>4.728831795356217E-2</v>
      </c>
      <c r="P49" s="3">
        <f t="shared" si="11"/>
        <v>472.88317953562171</v>
      </c>
      <c r="Q49">
        <f t="shared" si="12"/>
        <v>3.2500000000000004E-4</v>
      </c>
      <c r="R49">
        <f t="shared" si="13"/>
        <v>1.0204740252610645E-2</v>
      </c>
      <c r="S49">
        <f t="shared" si="14"/>
        <v>7.2320661579626078E-2</v>
      </c>
      <c r="T49">
        <f t="shared" si="15"/>
        <v>0.86811674221649893</v>
      </c>
      <c r="U49">
        <f t="shared" si="16"/>
        <v>3.1666666666666665E-4</v>
      </c>
      <c r="V49">
        <f t="shared" si="17"/>
        <v>9.9120091658375445E-3</v>
      </c>
      <c r="W49">
        <f t="shared" si="18"/>
        <v>0.87164498806802315</v>
      </c>
      <c r="X49">
        <f t="shared" si="19"/>
        <v>3.5282458515242254E-3</v>
      </c>
      <c r="Y49" s="3">
        <f t="shared" si="20"/>
        <v>1.6684481164521427</v>
      </c>
    </row>
    <row r="50" spans="4:25" x14ac:dyDescent="0.35">
      <c r="D50">
        <f t="shared" si="21"/>
        <v>39</v>
      </c>
      <c r="E50">
        <f t="shared" si="0"/>
        <v>3.3333333333333335</v>
      </c>
      <c r="F50">
        <f t="shared" si="1"/>
        <v>0.99169094522167767</v>
      </c>
      <c r="G50">
        <f t="shared" si="2"/>
        <v>1.1813604128656461</v>
      </c>
      <c r="H50">
        <f t="shared" si="3"/>
        <v>0.15832289927293847</v>
      </c>
      <c r="I50">
        <f t="shared" si="4"/>
        <v>0.14218749999999999</v>
      </c>
      <c r="J50">
        <f t="shared" si="5"/>
        <v>0.33071891388307378</v>
      </c>
      <c r="K50">
        <f t="shared" si="6"/>
        <v>0.90865803755990915</v>
      </c>
      <c r="L50">
        <f t="shared" si="7"/>
        <v>0.57793912367683542</v>
      </c>
      <c r="M50">
        <f t="shared" si="8"/>
        <v>0.28165261003621322</v>
      </c>
      <c r="N50">
        <f t="shared" si="9"/>
        <v>0.1817653303859578</v>
      </c>
      <c r="O50">
        <f t="shared" si="10"/>
        <v>4.5109277187069335E-2</v>
      </c>
      <c r="P50" s="3">
        <f t="shared" si="11"/>
        <v>451.09277187069335</v>
      </c>
      <c r="Q50">
        <f t="shared" si="12"/>
        <v>3.3333333333333338E-4</v>
      </c>
      <c r="R50">
        <f t="shared" si="13"/>
        <v>1.0499240875099182E-2</v>
      </c>
      <c r="S50">
        <f t="shared" si="14"/>
        <v>7.2320661579626078E-2</v>
      </c>
      <c r="T50">
        <f t="shared" si="15"/>
        <v>0.86458162323620924</v>
      </c>
      <c r="U50">
        <f t="shared" si="16"/>
        <v>3.2500000000000004E-4</v>
      </c>
      <c r="V50">
        <f t="shared" si="17"/>
        <v>1.0204740252610645E-2</v>
      </c>
      <c r="W50">
        <f t="shared" si="18"/>
        <v>0.86811674221649893</v>
      </c>
      <c r="X50">
        <f t="shared" si="19"/>
        <v>3.5351189802896865E-3</v>
      </c>
      <c r="Y50" s="3">
        <f t="shared" si="20"/>
        <v>1.5946666197115738</v>
      </c>
    </row>
    <row r="51" spans="4:25" x14ac:dyDescent="0.35">
      <c r="D51">
        <f t="shared" si="21"/>
        <v>40</v>
      </c>
      <c r="E51">
        <f t="shared" si="0"/>
        <v>3.4166666666666665</v>
      </c>
      <c r="F51">
        <f t="shared" si="1"/>
        <v>0.9914841058308399</v>
      </c>
      <c r="G51">
        <f t="shared" si="2"/>
        <v>1.1862930170416641</v>
      </c>
      <c r="H51">
        <f t="shared" si="3"/>
        <v>0.16228097175476189</v>
      </c>
      <c r="I51">
        <f t="shared" si="4"/>
        <v>0.13541666666666669</v>
      </c>
      <c r="J51">
        <f t="shared" si="5"/>
        <v>0.3227486121839514</v>
      </c>
      <c r="K51">
        <f t="shared" si="6"/>
        <v>0.92238239664917621</v>
      </c>
      <c r="L51">
        <f t="shared" si="7"/>
        <v>0.59963378446522486</v>
      </c>
      <c r="M51">
        <f t="shared" si="8"/>
        <v>0.27437516318148281</v>
      </c>
      <c r="N51">
        <f t="shared" si="9"/>
        <v>0.17816457428125318</v>
      </c>
      <c r="O51">
        <f t="shared" si="10"/>
        <v>4.2881826180417526E-2</v>
      </c>
      <c r="P51" s="3">
        <f t="shared" si="11"/>
        <v>428.81826180417528</v>
      </c>
      <c r="Q51">
        <f t="shared" si="12"/>
        <v>3.4166666666666666E-4</v>
      </c>
      <c r="R51">
        <f t="shared" si="13"/>
        <v>1.0795521730003256E-2</v>
      </c>
      <c r="S51">
        <f t="shared" si="14"/>
        <v>7.2320661579626078E-2</v>
      </c>
      <c r="T51">
        <f t="shared" si="15"/>
        <v>0.8610397044019058</v>
      </c>
      <c r="U51">
        <f t="shared" si="16"/>
        <v>3.3333333333333332E-4</v>
      </c>
      <c r="V51">
        <f t="shared" si="17"/>
        <v>1.0499240875099174E-2</v>
      </c>
      <c r="W51">
        <f t="shared" si="18"/>
        <v>0.86458162323620935</v>
      </c>
      <c r="X51">
        <f t="shared" si="19"/>
        <v>3.5419188343035479E-3</v>
      </c>
      <c r="Y51" s="3">
        <f t="shared" si="20"/>
        <v>1.5188394779775181</v>
      </c>
    </row>
    <row r="52" spans="4:25" x14ac:dyDescent="0.35">
      <c r="D52">
        <f t="shared" si="21"/>
        <v>41</v>
      </c>
      <c r="E52">
        <f t="shared" si="0"/>
        <v>3.5</v>
      </c>
      <c r="F52">
        <f t="shared" si="1"/>
        <v>0.99127730958099647</v>
      </c>
      <c r="G52">
        <f t="shared" si="2"/>
        <v>1.1912462166123581</v>
      </c>
      <c r="H52">
        <f t="shared" si="3"/>
        <v>0.16623904423658531</v>
      </c>
      <c r="I52">
        <f t="shared" si="4"/>
        <v>0.12864583333333332</v>
      </c>
      <c r="J52">
        <f t="shared" si="5"/>
        <v>0.31457643480294789</v>
      </c>
      <c r="K52">
        <f t="shared" si="6"/>
        <v>0.93740294868125096</v>
      </c>
      <c r="L52">
        <f t="shared" si="7"/>
        <v>0.62282651387830312</v>
      </c>
      <c r="M52">
        <f t="shared" si="8"/>
        <v>0.26669926646875008</v>
      </c>
      <c r="N52">
        <f t="shared" si="9"/>
        <v>0.17427566237727801</v>
      </c>
      <c r="O52">
        <f t="shared" si="10"/>
        <v>4.0605352637286291E-2</v>
      </c>
      <c r="P52" s="3">
        <f t="shared" si="11"/>
        <v>406.0535263728629</v>
      </c>
      <c r="Q52">
        <f t="shared" si="12"/>
        <v>3.5E-4</v>
      </c>
      <c r="R52">
        <f t="shared" si="13"/>
        <v>1.1093593578683685E-2</v>
      </c>
      <c r="S52">
        <f t="shared" si="14"/>
        <v>7.2320661579626078E-2</v>
      </c>
      <c r="T52">
        <f t="shared" si="15"/>
        <v>0.85749105999037667</v>
      </c>
      <c r="U52">
        <f t="shared" si="16"/>
        <v>3.4166666666666666E-4</v>
      </c>
      <c r="V52">
        <f t="shared" si="17"/>
        <v>1.0795521730003256E-2</v>
      </c>
      <c r="W52">
        <f t="shared" si="18"/>
        <v>0.8610397044019058</v>
      </c>
      <c r="X52">
        <f t="shared" si="19"/>
        <v>3.5486444115291338E-3</v>
      </c>
      <c r="Y52" s="3">
        <f t="shared" si="20"/>
        <v>1.4409395771447577</v>
      </c>
    </row>
    <row r="53" spans="4:25" x14ac:dyDescent="0.35">
      <c r="D53">
        <f t="shared" si="21"/>
        <v>42</v>
      </c>
      <c r="E53">
        <f t="shared" si="0"/>
        <v>3.5833333333333335</v>
      </c>
      <c r="F53">
        <f t="shared" si="1"/>
        <v>0.99107055646314957</v>
      </c>
      <c r="G53">
        <f t="shared" si="2"/>
        <v>1.1962200975709003</v>
      </c>
      <c r="H53">
        <f t="shared" si="3"/>
        <v>0.17019711671840873</v>
      </c>
      <c r="I53">
        <f t="shared" si="4"/>
        <v>0.12187499999999998</v>
      </c>
      <c r="J53">
        <f t="shared" si="5"/>
        <v>0.30618621784789724</v>
      </c>
      <c r="K53">
        <f t="shared" si="6"/>
        <v>0.95390353873961786</v>
      </c>
      <c r="L53">
        <f t="shared" si="7"/>
        <v>0.64771732089172063</v>
      </c>
      <c r="M53">
        <f t="shared" si="8"/>
        <v>0.2585838996319122</v>
      </c>
      <c r="N53">
        <f t="shared" si="9"/>
        <v>0.17006623602572779</v>
      </c>
      <c r="O53">
        <f t="shared" si="10"/>
        <v>3.827945517534051E-2</v>
      </c>
      <c r="P53" s="3">
        <f t="shared" si="11"/>
        <v>382.79455175340507</v>
      </c>
      <c r="Q53">
        <f t="shared" si="12"/>
        <v>3.5833333333333339E-4</v>
      </c>
      <c r="R53">
        <f t="shared" si="13"/>
        <v>1.1393467247552797E-2</v>
      </c>
      <c r="S53">
        <f t="shared" si="14"/>
        <v>7.2320661579626078E-2</v>
      </c>
      <c r="T53">
        <f t="shared" si="15"/>
        <v>0.85393576528307258</v>
      </c>
      <c r="U53">
        <f t="shared" si="16"/>
        <v>3.5E-4</v>
      </c>
      <c r="V53">
        <f t="shared" si="17"/>
        <v>1.1093593578683685E-2</v>
      </c>
      <c r="W53">
        <f t="shared" si="18"/>
        <v>0.85749105999037667</v>
      </c>
      <c r="X53">
        <f t="shared" si="19"/>
        <v>3.5552947073040908E-3</v>
      </c>
      <c r="Y53" s="3">
        <f t="shared" si="20"/>
        <v>1.360947443833723</v>
      </c>
    </row>
    <row r="54" spans="4:25" x14ac:dyDescent="0.35">
      <c r="D54">
        <f t="shared" si="21"/>
        <v>43</v>
      </c>
      <c r="E54">
        <f t="shared" si="0"/>
        <v>3.6666666666666665</v>
      </c>
      <c r="F54">
        <f t="shared" si="1"/>
        <v>0.99086384646830306</v>
      </c>
      <c r="G54">
        <f t="shared" si="2"/>
        <v>1.2012147462695157</v>
      </c>
      <c r="H54">
        <f t="shared" si="3"/>
        <v>0.17415518920023237</v>
      </c>
      <c r="I54">
        <f t="shared" si="4"/>
        <v>0.11510416666666667</v>
      </c>
      <c r="J54">
        <f t="shared" si="5"/>
        <v>0.29755951785595208</v>
      </c>
      <c r="K54">
        <f t="shared" si="6"/>
        <v>0.97210587633405454</v>
      </c>
      <c r="L54">
        <f t="shared" si="7"/>
        <v>0.6745463584781024</v>
      </c>
      <c r="M54">
        <f t="shared" si="8"/>
        <v>0.24998201155758037</v>
      </c>
      <c r="N54">
        <f t="shared" si="9"/>
        <v>0.16549893951890851</v>
      </c>
      <c r="O54">
        <f t="shared" si="10"/>
        <v>3.5904027385083526E-2</v>
      </c>
      <c r="P54" s="3">
        <f t="shared" si="11"/>
        <v>359.04027385083526</v>
      </c>
      <c r="Q54">
        <f t="shared" si="12"/>
        <v>3.6666666666666667E-4</v>
      </c>
      <c r="R54">
        <f t="shared" si="13"/>
        <v>1.169515362846775E-2</v>
      </c>
      <c r="S54">
        <f t="shared" si="14"/>
        <v>7.2320661579626078E-2</v>
      </c>
      <c r="T54">
        <f t="shared" si="15"/>
        <v>0.85037389656861262</v>
      </c>
      <c r="U54">
        <f t="shared" si="16"/>
        <v>3.5833333333333333E-4</v>
      </c>
      <c r="V54">
        <f t="shared" si="17"/>
        <v>1.1393467247552797E-2</v>
      </c>
      <c r="W54">
        <f t="shared" si="18"/>
        <v>0.85393576528307258</v>
      </c>
      <c r="X54">
        <f t="shared" si="19"/>
        <v>3.5618687144599592E-3</v>
      </c>
      <c r="Y54" s="3">
        <f t="shared" si="20"/>
        <v>1.2788543186604262</v>
      </c>
    </row>
    <row r="55" spans="4:25" x14ac:dyDescent="0.35">
      <c r="D55">
        <f t="shared" si="21"/>
        <v>44</v>
      </c>
      <c r="E55">
        <f t="shared" si="0"/>
        <v>3.75</v>
      </c>
      <c r="F55">
        <f t="shared" si="1"/>
        <v>0.99065717958746247</v>
      </c>
      <c r="G55">
        <f t="shared" si="2"/>
        <v>1.2062302494209807</v>
      </c>
      <c r="H55">
        <f t="shared" si="3"/>
        <v>0.17811326168205568</v>
      </c>
      <c r="I55">
        <f t="shared" si="4"/>
        <v>0.10833333333333334</v>
      </c>
      <c r="J55">
        <f t="shared" si="5"/>
        <v>0.28867513459481287</v>
      </c>
      <c r="K55">
        <f t="shared" si="6"/>
        <v>0.99228011244351955</v>
      </c>
      <c r="L55">
        <f t="shared" si="7"/>
        <v>0.70360497784870668</v>
      </c>
      <c r="M55">
        <f t="shared" si="8"/>
        <v>0.2408394052532401</v>
      </c>
      <c r="N55">
        <f t="shared" si="9"/>
        <v>0.16053045096894578</v>
      </c>
      <c r="O55">
        <f t="shared" si="10"/>
        <v>3.3479372755086778E-2</v>
      </c>
      <c r="P55" s="3">
        <f t="shared" si="11"/>
        <v>334.7937275508678</v>
      </c>
      <c r="Q55">
        <f t="shared" si="12"/>
        <v>3.7500000000000001E-4</v>
      </c>
      <c r="R55">
        <f t="shared" si="13"/>
        <v>1.1998663679126061E-2</v>
      </c>
      <c r="S55">
        <f t="shared" si="14"/>
        <v>7.2320661579626078E-2</v>
      </c>
      <c r="T55">
        <f t="shared" si="15"/>
        <v>0.84680553114517165</v>
      </c>
      <c r="U55">
        <f t="shared" si="16"/>
        <v>3.6666666666666667E-4</v>
      </c>
      <c r="V55">
        <f t="shared" si="17"/>
        <v>1.169515362846775E-2</v>
      </c>
      <c r="W55">
        <f t="shared" si="18"/>
        <v>0.85037389656861262</v>
      </c>
      <c r="X55">
        <f t="shared" si="19"/>
        <v>3.5683654234409667E-3</v>
      </c>
      <c r="Y55" s="3">
        <f t="shared" si="20"/>
        <v>1.194666361377432</v>
      </c>
    </row>
    <row r="56" spans="4:25" x14ac:dyDescent="0.35">
      <c r="D56">
        <f t="shared" si="21"/>
        <v>45</v>
      </c>
      <c r="E56">
        <f t="shared" si="0"/>
        <v>3.8333333333333335</v>
      </c>
      <c r="F56">
        <f t="shared" si="1"/>
        <v>0.99045055581163566</v>
      </c>
      <c r="G56">
        <f t="shared" si="2"/>
        <v>1.2112666941001289</v>
      </c>
      <c r="H56">
        <f t="shared" si="3"/>
        <v>0.18207133416387922</v>
      </c>
      <c r="I56">
        <f t="shared" si="4"/>
        <v>0.10156249999999999</v>
      </c>
      <c r="J56">
        <f t="shared" si="5"/>
        <v>0.27950849718747367</v>
      </c>
      <c r="K56">
        <f t="shared" si="6"/>
        <v>1.014759254254938</v>
      </c>
      <c r="L56">
        <f t="shared" si="7"/>
        <v>0.73525075706746423</v>
      </c>
      <c r="M56">
        <f t="shared" si="8"/>
        <v>0.23109339603874463</v>
      </c>
      <c r="N56">
        <f t="shared" si="9"/>
        <v>0.1551103004493376</v>
      </c>
      <c r="O56">
        <f t="shared" si="10"/>
        <v>3.1006363131801218E-2</v>
      </c>
      <c r="P56" s="3">
        <f t="shared" si="11"/>
        <v>310.0636313180122</v>
      </c>
      <c r="Q56">
        <f t="shared" si="12"/>
        <v>3.8333333333333334E-4</v>
      </c>
      <c r="R56">
        <f t="shared" si="13"/>
        <v>1.2304008423463663E-2</v>
      </c>
      <c r="S56">
        <f t="shared" si="14"/>
        <v>7.2320661579626078E-2</v>
      </c>
      <c r="T56">
        <f t="shared" si="15"/>
        <v>0.84323074732274239</v>
      </c>
      <c r="U56">
        <f t="shared" si="16"/>
        <v>3.7500000000000001E-4</v>
      </c>
      <c r="V56">
        <f t="shared" si="17"/>
        <v>1.1998663679126061E-2</v>
      </c>
      <c r="W56">
        <f t="shared" si="18"/>
        <v>0.84680553114517165</v>
      </c>
      <c r="X56">
        <f t="shared" si="19"/>
        <v>3.5747838224292616E-3</v>
      </c>
      <c r="Y56" s="3">
        <f t="shared" si="20"/>
        <v>1.1084104531593009</v>
      </c>
    </row>
    <row r="57" spans="4:25" x14ac:dyDescent="0.35">
      <c r="D57">
        <f t="shared" si="21"/>
        <v>46</v>
      </c>
      <c r="E57">
        <f t="shared" si="0"/>
        <v>3.9166666666666665</v>
      </c>
      <c r="F57">
        <f t="shared" si="1"/>
        <v>0.99024397513183193</v>
      </c>
      <c r="G57">
        <f t="shared" si="2"/>
        <v>1.2163241677453622</v>
      </c>
      <c r="H57">
        <f t="shared" si="3"/>
        <v>0.18602940664570264</v>
      </c>
      <c r="I57">
        <f t="shared" si="4"/>
        <v>9.4791666666666677E-2</v>
      </c>
      <c r="J57">
        <f t="shared" si="5"/>
        <v>0.27003086243366087</v>
      </c>
      <c r="K57">
        <f t="shared" si="6"/>
        <v>1.0399591764491709</v>
      </c>
      <c r="L57">
        <f t="shared" si="7"/>
        <v>0.76992831401550998</v>
      </c>
      <c r="M57">
        <f t="shared" si="8"/>
        <v>0.22067120861645198</v>
      </c>
      <c r="N57">
        <f t="shared" si="9"/>
        <v>0.14917943372087369</v>
      </c>
      <c r="O57">
        <f t="shared" si="10"/>
        <v>2.8486659372719381E-2</v>
      </c>
      <c r="P57" s="3">
        <f t="shared" si="11"/>
        <v>284.86659372719379</v>
      </c>
      <c r="Q57">
        <f t="shared" si="12"/>
        <v>3.9166666666666668E-4</v>
      </c>
      <c r="R57">
        <f t="shared" si="13"/>
        <v>1.2611198952055272E-2</v>
      </c>
      <c r="S57">
        <f t="shared" si="14"/>
        <v>7.2320661579626078E-2</v>
      </c>
      <c r="T57">
        <f t="shared" si="15"/>
        <v>0.83964962442527447</v>
      </c>
      <c r="U57">
        <f t="shared" si="16"/>
        <v>3.8333333333333334E-4</v>
      </c>
      <c r="V57">
        <f t="shared" si="17"/>
        <v>1.2304008423463663E-2</v>
      </c>
      <c r="W57">
        <f t="shared" si="18"/>
        <v>0.84323074732274239</v>
      </c>
      <c r="X57">
        <f t="shared" si="19"/>
        <v>3.5811228974679254E-3</v>
      </c>
      <c r="Y57" s="3">
        <f t="shared" si="20"/>
        <v>1.0201422815201466</v>
      </c>
    </row>
    <row r="58" spans="4:25" x14ac:dyDescent="0.35">
      <c r="D58">
        <f t="shared" si="21"/>
        <v>47</v>
      </c>
      <c r="E58">
        <f t="shared" si="0"/>
        <v>4</v>
      </c>
      <c r="F58">
        <f t="shared" si="1"/>
        <v>0.9900374375390627</v>
      </c>
      <c r="G58">
        <f t="shared" si="2"/>
        <v>1.2214027581601699</v>
      </c>
      <c r="H58">
        <f t="shared" si="3"/>
        <v>0.18998747912752614</v>
      </c>
      <c r="I58">
        <f t="shared" si="4"/>
        <v>8.8020833333333326E-2</v>
      </c>
      <c r="J58">
        <f t="shared" si="5"/>
        <v>0.26020824993326658</v>
      </c>
      <c r="K58">
        <f t="shared" si="6"/>
        <v>1.0684069876038054</v>
      </c>
      <c r="L58">
        <f t="shared" si="7"/>
        <v>0.80819873767053885</v>
      </c>
      <c r="M58">
        <f t="shared" si="8"/>
        <v>0.20948809215846284</v>
      </c>
      <c r="N58">
        <f t="shared" si="9"/>
        <v>0.14266848320021211</v>
      </c>
      <c r="O58">
        <f t="shared" si="10"/>
        <v>2.5923022108230248E-2</v>
      </c>
      <c r="P58" s="3">
        <f t="shared" si="11"/>
        <v>259.23022108230248</v>
      </c>
      <c r="Q58">
        <f t="shared" si="12"/>
        <v>4.0000000000000002E-4</v>
      </c>
      <c r="R58">
        <f t="shared" si="13"/>
        <v>1.2920246422517257E-2</v>
      </c>
      <c r="S58">
        <f t="shared" si="14"/>
        <v>7.2320661579626078E-2</v>
      </c>
      <c r="T58">
        <f t="shared" si="15"/>
        <v>0.83606224279268349</v>
      </c>
      <c r="U58">
        <f t="shared" si="16"/>
        <v>3.9166666666666668E-4</v>
      </c>
      <c r="V58">
        <f t="shared" si="17"/>
        <v>1.2611198952055272E-2</v>
      </c>
      <c r="W58">
        <f t="shared" si="18"/>
        <v>0.83964962442527447</v>
      </c>
      <c r="X58">
        <f t="shared" si="19"/>
        <v>3.5873816325909802E-3</v>
      </c>
      <c r="Y58" s="3">
        <f t="shared" si="20"/>
        <v>0.92995773372315105</v>
      </c>
    </row>
    <row r="59" spans="4:25" x14ac:dyDescent="0.35">
      <c r="D59">
        <f t="shared" si="21"/>
        <v>48</v>
      </c>
      <c r="E59">
        <f t="shared" si="0"/>
        <v>4.083333333333333</v>
      </c>
      <c r="F59">
        <f t="shared" si="1"/>
        <v>0.98983094302434127</v>
      </c>
      <c r="G59">
        <f t="shared" si="2"/>
        <v>1.2265025535146516</v>
      </c>
      <c r="H59">
        <f t="shared" si="3"/>
        <v>0.19394555160934948</v>
      </c>
      <c r="I59">
        <f t="shared" si="4"/>
        <v>8.1250000000000017E-2</v>
      </c>
      <c r="J59">
        <f t="shared" si="5"/>
        <v>0.25</v>
      </c>
      <c r="K59">
        <f t="shared" si="6"/>
        <v>1.100782206437398</v>
      </c>
      <c r="L59">
        <f t="shared" si="7"/>
        <v>0.85078220643739799</v>
      </c>
      <c r="M59">
        <f t="shared" si="8"/>
        <v>0.19744517384718846</v>
      </c>
      <c r="N59">
        <f t="shared" si="9"/>
        <v>0.13549572887815059</v>
      </c>
      <c r="O59">
        <f t="shared" si="10"/>
        <v>2.3319755082777033E-2</v>
      </c>
      <c r="P59" s="3">
        <f t="shared" si="11"/>
        <v>233.19755082777033</v>
      </c>
      <c r="Q59">
        <f t="shared" si="12"/>
        <v>4.083333333333333E-4</v>
      </c>
      <c r="R59">
        <f t="shared" si="13"/>
        <v>1.3231162059912838E-2</v>
      </c>
      <c r="S59">
        <f t="shared" si="14"/>
        <v>7.2320661579626078E-2</v>
      </c>
      <c r="T59">
        <f t="shared" si="15"/>
        <v>0.83246868378273142</v>
      </c>
      <c r="U59">
        <f t="shared" si="16"/>
        <v>3.9999999999999996E-4</v>
      </c>
      <c r="V59">
        <f t="shared" si="17"/>
        <v>1.2920246422517248E-2</v>
      </c>
      <c r="W59">
        <f t="shared" si="18"/>
        <v>0.8360622427926836</v>
      </c>
      <c r="X59">
        <f t="shared" si="19"/>
        <v>3.5935590099521741E-3</v>
      </c>
      <c r="Y59" s="3">
        <f t="shared" si="20"/>
        <v>0.83800915987591418</v>
      </c>
    </row>
    <row r="60" spans="4:25" x14ac:dyDescent="0.35">
      <c r="D60">
        <f t="shared" si="21"/>
        <v>49</v>
      </c>
      <c r="E60">
        <f t="shared" si="0"/>
        <v>4.166666666666667</v>
      </c>
      <c r="F60">
        <f t="shared" si="1"/>
        <v>0.9896244915786826</v>
      </c>
      <c r="G60">
        <f t="shared" si="2"/>
        <v>1.2316236423470497</v>
      </c>
      <c r="H60">
        <f t="shared" si="3"/>
        <v>0.19790362409117299</v>
      </c>
      <c r="I60">
        <f t="shared" si="4"/>
        <v>7.4479166666666652E-2</v>
      </c>
      <c r="J60">
        <f t="shared" si="5"/>
        <v>0.2393567769390845</v>
      </c>
      <c r="K60">
        <f t="shared" si="6"/>
        <v>1.1379781857071052</v>
      </c>
      <c r="L60">
        <f t="shared" si="7"/>
        <v>0.89862140876802066</v>
      </c>
      <c r="M60">
        <f t="shared" si="8"/>
        <v>0.18442717568148193</v>
      </c>
      <c r="N60">
        <f t="shared" si="9"/>
        <v>0.12756479567450196</v>
      </c>
      <c r="O60">
        <f t="shared" si="10"/>
        <v>2.0683346849028811E-2</v>
      </c>
      <c r="P60" s="3">
        <f t="shared" si="11"/>
        <v>206.83346849028811</v>
      </c>
      <c r="Q60">
        <f t="shared" si="12"/>
        <v>4.1666666666666669E-4</v>
      </c>
      <c r="R60">
        <f t="shared" si="13"/>
        <v>1.354395715715986E-2</v>
      </c>
      <c r="S60">
        <f t="shared" si="14"/>
        <v>7.2320661579626078E-2</v>
      </c>
      <c r="T60">
        <f t="shared" si="15"/>
        <v>0.82886902977277255</v>
      </c>
      <c r="U60">
        <f t="shared" si="16"/>
        <v>4.0833333333333341E-4</v>
      </c>
      <c r="V60">
        <f t="shared" si="17"/>
        <v>1.3231162059912838E-2</v>
      </c>
      <c r="W60">
        <f t="shared" si="18"/>
        <v>0.83246868378273142</v>
      </c>
      <c r="X60">
        <f t="shared" si="19"/>
        <v>3.5996540099588747E-3</v>
      </c>
      <c r="Y60" s="3">
        <f t="shared" si="20"/>
        <v>0.74452892424476813</v>
      </c>
    </row>
    <row r="61" spans="4:25" x14ac:dyDescent="0.35">
      <c r="D61">
        <f t="shared" si="21"/>
        <v>50</v>
      </c>
      <c r="E61">
        <f t="shared" si="0"/>
        <v>4.25</v>
      </c>
      <c r="F61">
        <f t="shared" si="1"/>
        <v>0.98941808319310376</v>
      </c>
      <c r="G61">
        <f t="shared" si="2"/>
        <v>1.2367661135652848</v>
      </c>
      <c r="H61">
        <f t="shared" si="3"/>
        <v>0.20186169657299655</v>
      </c>
      <c r="I61">
        <f t="shared" si="4"/>
        <v>6.7708333333333343E-2</v>
      </c>
      <c r="J61">
        <f t="shared" si="5"/>
        <v>0.22821773229381923</v>
      </c>
      <c r="K61">
        <f t="shared" si="6"/>
        <v>1.1811966896563129</v>
      </c>
      <c r="L61">
        <f t="shared" si="7"/>
        <v>0.95297895736249361</v>
      </c>
      <c r="M61">
        <f t="shared" si="8"/>
        <v>0.17030036623877839</v>
      </c>
      <c r="N61">
        <f t="shared" si="9"/>
        <v>0.11876229801811904</v>
      </c>
      <c r="O61">
        <f t="shared" si="10"/>
        <v>1.8023414568298979E-2</v>
      </c>
      <c r="P61" s="3">
        <f t="shared" si="11"/>
        <v>180.23414568298978</v>
      </c>
      <c r="Q61">
        <f t="shared" si="12"/>
        <v>4.2500000000000003E-4</v>
      </c>
      <c r="R61">
        <f t="shared" si="13"/>
        <v>1.3858643075440944E-2</v>
      </c>
      <c r="S61">
        <f t="shared" si="14"/>
        <v>7.2320661579626078E-2</v>
      </c>
      <c r="T61">
        <f t="shared" si="15"/>
        <v>0.82526336416136536</v>
      </c>
      <c r="U61">
        <f t="shared" si="16"/>
        <v>4.1666666666666669E-4</v>
      </c>
      <c r="V61">
        <f t="shared" si="17"/>
        <v>1.354395715715986E-2</v>
      </c>
      <c r="W61">
        <f t="shared" si="18"/>
        <v>0.82886902977277255</v>
      </c>
      <c r="X61">
        <f t="shared" si="19"/>
        <v>3.6056656114071828E-3</v>
      </c>
      <c r="Y61" s="3">
        <f t="shared" si="20"/>
        <v>0.64986406109050854</v>
      </c>
    </row>
    <row r="62" spans="4:25" x14ac:dyDescent="0.35">
      <c r="D62">
        <f t="shared" si="21"/>
        <v>51</v>
      </c>
      <c r="E62">
        <f t="shared" si="0"/>
        <v>4.333333333333333</v>
      </c>
      <c r="F62">
        <f t="shared" si="1"/>
        <v>0.98921171785862361</v>
      </c>
      <c r="G62">
        <f t="shared" si="2"/>
        <v>1.2419300564485001</v>
      </c>
      <c r="H62">
        <f t="shared" si="3"/>
        <v>0.20581976905481988</v>
      </c>
      <c r="I62">
        <f t="shared" si="4"/>
        <v>6.0937500000000026E-2</v>
      </c>
      <c r="J62">
        <f t="shared" si="5"/>
        <v>0.2165063509461097</v>
      </c>
      <c r="K62">
        <f t="shared" si="6"/>
        <v>1.2320990487767174</v>
      </c>
      <c r="L62">
        <f t="shared" si="7"/>
        <v>1.0155926978306078</v>
      </c>
      <c r="M62">
        <f t="shared" si="8"/>
        <v>0.15491169179234485</v>
      </c>
      <c r="N62">
        <f t="shared" si="9"/>
        <v>0.10895604335252439</v>
      </c>
      <c r="O62">
        <f t="shared" si="10"/>
        <v>1.5354116570399201E-2</v>
      </c>
      <c r="P62" s="3">
        <f t="shared" si="11"/>
        <v>153.54116570399202</v>
      </c>
      <c r="Q62">
        <f t="shared" si="12"/>
        <v>4.3333333333333331E-4</v>
      </c>
      <c r="R62">
        <f t="shared" si="13"/>
        <v>1.4175231244616114E-2</v>
      </c>
      <c r="S62">
        <f t="shared" si="14"/>
        <v>7.2320661579626078E-2</v>
      </c>
      <c r="T62">
        <f t="shared" si="15"/>
        <v>0.82165177136974565</v>
      </c>
      <c r="U62">
        <f t="shared" si="16"/>
        <v>4.2500000000000003E-4</v>
      </c>
      <c r="V62">
        <f t="shared" si="17"/>
        <v>1.3858643075440944E-2</v>
      </c>
      <c r="W62">
        <f t="shared" si="18"/>
        <v>0.82526336416136536</v>
      </c>
      <c r="X62">
        <f t="shared" si="19"/>
        <v>3.611592791619711E-3</v>
      </c>
      <c r="Y62" s="3">
        <f t="shared" si="20"/>
        <v>0.55452816727342513</v>
      </c>
    </row>
    <row r="63" spans="4:25" x14ac:dyDescent="0.35">
      <c r="D63">
        <f t="shared" si="21"/>
        <v>52</v>
      </c>
      <c r="E63">
        <f t="shared" si="0"/>
        <v>4.416666666666667</v>
      </c>
      <c r="F63">
        <f t="shared" si="1"/>
        <v>0.98900539556626288</v>
      </c>
      <c r="G63">
        <f t="shared" si="2"/>
        <v>1.2471155606486117</v>
      </c>
      <c r="H63">
        <f t="shared" si="3"/>
        <v>0.20977784153664347</v>
      </c>
      <c r="I63">
        <f t="shared" si="4"/>
        <v>5.4166666666666648E-2</v>
      </c>
      <c r="J63">
        <f t="shared" si="5"/>
        <v>0.20412414523193148</v>
      </c>
      <c r="K63">
        <f t="shared" si="6"/>
        <v>1.2930587310159172</v>
      </c>
      <c r="L63">
        <f t="shared" si="7"/>
        <v>1.0889345857839856</v>
      </c>
      <c r="M63">
        <f t="shared" si="8"/>
        <v>0.13809136659279092</v>
      </c>
      <c r="N63">
        <f t="shared" si="9"/>
        <v>9.7995373526572921E-2</v>
      </c>
      <c r="O63">
        <f t="shared" si="10"/>
        <v>1.269630561616629E-2</v>
      </c>
      <c r="P63" s="3">
        <f t="shared" si="11"/>
        <v>126.96305616166289</v>
      </c>
      <c r="Q63">
        <f t="shared" si="12"/>
        <v>4.416666666666667E-4</v>
      </c>
      <c r="R63">
        <f t="shared" si="13"/>
        <v>1.4493733163638009E-2</v>
      </c>
      <c r="S63">
        <f t="shared" si="14"/>
        <v>7.2320661579626078E-2</v>
      </c>
      <c r="T63">
        <f t="shared" si="15"/>
        <v>0.81803433684315996</v>
      </c>
      <c r="U63">
        <f t="shared" si="16"/>
        <v>4.3333333333333342E-4</v>
      </c>
      <c r="V63">
        <f t="shared" si="17"/>
        <v>1.4175231244616122E-2</v>
      </c>
      <c r="W63">
        <f t="shared" si="18"/>
        <v>0.82165177136974565</v>
      </c>
      <c r="X63">
        <f t="shared" si="19"/>
        <v>3.6174345265856944E-3</v>
      </c>
      <c r="Y63" s="3">
        <f t="shared" si="20"/>
        <v>0.45928054296003795</v>
      </c>
    </row>
    <row r="64" spans="4:25" x14ac:dyDescent="0.35">
      <c r="D64">
        <f t="shared" si="21"/>
        <v>53</v>
      </c>
      <c r="E64">
        <f t="shared" si="0"/>
        <v>4.5</v>
      </c>
      <c r="F64">
        <f t="shared" si="1"/>
        <v>0.98879911630704409</v>
      </c>
      <c r="G64">
        <f t="shared" si="2"/>
        <v>1.2523227161918644</v>
      </c>
      <c r="H64">
        <f t="shared" si="3"/>
        <v>0.21373591401846692</v>
      </c>
      <c r="I64">
        <f t="shared" si="4"/>
        <v>4.7395833333333338E-2</v>
      </c>
      <c r="J64">
        <f t="shared" si="5"/>
        <v>0.19094065395649334</v>
      </c>
      <c r="K64">
        <f t="shared" si="6"/>
        <v>1.367606855537953</v>
      </c>
      <c r="L64">
        <f t="shared" si="7"/>
        <v>1.1766662015814597</v>
      </c>
      <c r="M64">
        <f t="shared" si="8"/>
        <v>0.11966438151010812</v>
      </c>
      <c r="N64">
        <f t="shared" si="9"/>
        <v>8.5717584708229835E-2</v>
      </c>
      <c r="O64">
        <f t="shared" si="10"/>
        <v>1.0080870464844599E-2</v>
      </c>
      <c r="P64" s="3">
        <f t="shared" si="11"/>
        <v>100.808704648446</v>
      </c>
      <c r="Q64">
        <f t="shared" si="12"/>
        <v>4.5000000000000004E-4</v>
      </c>
      <c r="R64">
        <f t="shared" si="13"/>
        <v>1.4814160400969461E-2</v>
      </c>
      <c r="S64">
        <f t="shared" si="14"/>
        <v>7.2320661579626078E-2</v>
      </c>
      <c r="T64">
        <f t="shared" si="15"/>
        <v>0.81441114705205531</v>
      </c>
      <c r="U64">
        <f t="shared" si="16"/>
        <v>4.416666666666667E-4</v>
      </c>
      <c r="V64">
        <f t="shared" si="17"/>
        <v>1.4493733163638009E-2</v>
      </c>
      <c r="W64">
        <f t="shared" si="18"/>
        <v>0.81803433684315996</v>
      </c>
      <c r="X64">
        <f t="shared" si="19"/>
        <v>3.6231897911046529E-3</v>
      </c>
      <c r="Y64" s="3">
        <f t="shared" si="20"/>
        <v>0.36524906953673369</v>
      </c>
    </row>
    <row r="65" spans="4:25" x14ac:dyDescent="0.35">
      <c r="D65">
        <f t="shared" si="21"/>
        <v>54</v>
      </c>
      <c r="E65">
        <f t="shared" si="0"/>
        <v>4.583333333333333</v>
      </c>
      <c r="F65">
        <f t="shared" si="1"/>
        <v>0.98859288007199175</v>
      </c>
      <c r="G65">
        <f t="shared" si="2"/>
        <v>1.2575516134803948</v>
      </c>
      <c r="H65">
        <f t="shared" si="3"/>
        <v>0.21769398650029032</v>
      </c>
      <c r="I65">
        <f t="shared" si="4"/>
        <v>4.0625000000000029E-2</v>
      </c>
      <c r="J65">
        <f t="shared" si="5"/>
        <v>0.17677669529663695</v>
      </c>
      <c r="K65">
        <f t="shared" si="6"/>
        <v>1.4612728565087316</v>
      </c>
      <c r="L65">
        <f t="shared" si="7"/>
        <v>1.2844961612120946</v>
      </c>
      <c r="M65">
        <f t="shared" si="8"/>
        <v>9.9484202949398512E-2</v>
      </c>
      <c r="N65">
        <f t="shared" si="9"/>
        <v>7.197028790121536E-2</v>
      </c>
      <c r="O65">
        <f t="shared" si="10"/>
        <v>7.5539943617430882E-3</v>
      </c>
      <c r="P65" s="3">
        <f t="shared" si="11"/>
        <v>75.539943617430879</v>
      </c>
      <c r="Q65">
        <f t="shared" si="12"/>
        <v>4.5833333333333332E-4</v>
      </c>
      <c r="R65">
        <f t="shared" si="13"/>
        <v>1.5136524595003762E-2</v>
      </c>
      <c r="S65">
        <f t="shared" si="14"/>
        <v>7.2320661579626078E-2</v>
      </c>
      <c r="T65">
        <f t="shared" si="15"/>
        <v>0.81078228949312381</v>
      </c>
      <c r="U65">
        <f t="shared" si="16"/>
        <v>4.5000000000000004E-4</v>
      </c>
      <c r="V65">
        <f t="shared" si="17"/>
        <v>1.4814160400969461E-2</v>
      </c>
      <c r="W65">
        <f t="shared" si="18"/>
        <v>0.81441114705205531</v>
      </c>
      <c r="X65">
        <f t="shared" si="19"/>
        <v>3.6288575589314975E-3</v>
      </c>
      <c r="Y65" s="3">
        <f t="shared" si="20"/>
        <v>0.27412369539737319</v>
      </c>
    </row>
    <row r="66" spans="4:25" x14ac:dyDescent="0.35">
      <c r="D66">
        <f t="shared" si="21"/>
        <v>55</v>
      </c>
      <c r="E66">
        <f t="shared" si="0"/>
        <v>4.666666666666667</v>
      </c>
      <c r="F66">
        <f t="shared" si="1"/>
        <v>0.98838668685213238</v>
      </c>
      <c r="G66">
        <f t="shared" si="2"/>
        <v>1.2628023432938014</v>
      </c>
      <c r="H66">
        <f t="shared" si="3"/>
        <v>0.22165205898211382</v>
      </c>
      <c r="I66">
        <f t="shared" si="4"/>
        <v>3.3854166666666644E-2</v>
      </c>
      <c r="J66">
        <f t="shared" si="5"/>
        <v>0.16137430609197564</v>
      </c>
      <c r="K66">
        <f t="shared" si="6"/>
        <v>1.5833141708640663</v>
      </c>
      <c r="L66">
        <f t="shared" si="7"/>
        <v>1.4219398647720907</v>
      </c>
      <c r="M66">
        <f t="shared" si="8"/>
        <v>7.752185453432206E-2</v>
      </c>
      <c r="N66">
        <f t="shared" si="9"/>
        <v>5.6674937299750115E-2</v>
      </c>
      <c r="O66">
        <f t="shared" si="10"/>
        <v>5.185435404523514E-3</v>
      </c>
      <c r="P66" s="3">
        <f t="shared" si="11"/>
        <v>51.854354045235141</v>
      </c>
      <c r="Q66">
        <f t="shared" si="12"/>
        <v>4.6666666666666672E-4</v>
      </c>
      <c r="R66">
        <f t="shared" si="13"/>
        <v>1.546083745448733E-2</v>
      </c>
      <c r="S66">
        <f t="shared" si="14"/>
        <v>7.2320661579626078E-2</v>
      </c>
      <c r="T66">
        <f t="shared" si="15"/>
        <v>0.80714785269019917</v>
      </c>
      <c r="U66">
        <f t="shared" si="16"/>
        <v>4.5833333333333343E-4</v>
      </c>
      <c r="V66">
        <f t="shared" si="17"/>
        <v>1.5136524595003762E-2</v>
      </c>
      <c r="W66">
        <f t="shared" si="18"/>
        <v>0.81078228949312381</v>
      </c>
      <c r="X66">
        <f t="shared" si="19"/>
        <v>3.6344368029246343E-3</v>
      </c>
      <c r="Y66" s="3">
        <f t="shared" si="20"/>
        <v>0.1884613727338865</v>
      </c>
    </row>
    <row r="67" spans="4:25" x14ac:dyDescent="0.35">
      <c r="D67">
        <f t="shared" si="21"/>
        <v>56</v>
      </c>
      <c r="E67">
        <f t="shared" si="0"/>
        <v>4.75</v>
      </c>
      <c r="F67">
        <f t="shared" si="1"/>
        <v>0.98818053663849392</v>
      </c>
      <c r="G67">
        <f t="shared" si="2"/>
        <v>1.2680749967907194</v>
      </c>
      <c r="H67">
        <f t="shared" si="3"/>
        <v>0.22561013146393735</v>
      </c>
      <c r="I67">
        <f t="shared" si="4"/>
        <v>2.7083333333333334E-2</v>
      </c>
      <c r="J67">
        <f t="shared" si="5"/>
        <v>0.14433756729740643</v>
      </c>
      <c r="K67">
        <f t="shared" si="6"/>
        <v>1.7507116790779615</v>
      </c>
      <c r="L67">
        <f t="shared" si="7"/>
        <v>1.6063741117805552</v>
      </c>
      <c r="M67">
        <f t="shared" si="8"/>
        <v>5.4095867735278386E-2</v>
      </c>
      <c r="N67">
        <f t="shared" si="9"/>
        <v>3.9997793326471506E-2</v>
      </c>
      <c r="O67">
        <f t="shared" si="10"/>
        <v>3.0810256082755977E-3</v>
      </c>
      <c r="P67" s="3">
        <f t="shared" si="11"/>
        <v>30.810256082755977</v>
      </c>
      <c r="Q67">
        <f t="shared" si="12"/>
        <v>4.75E-4</v>
      </c>
      <c r="R67">
        <f t="shared" si="13"/>
        <v>1.5787110758945011E-2</v>
      </c>
      <c r="S67">
        <f t="shared" si="14"/>
        <v>7.2320661579626078E-2</v>
      </c>
      <c r="T67">
        <f t="shared" si="15"/>
        <v>0.80350792619500278</v>
      </c>
      <c r="U67">
        <f t="shared" si="16"/>
        <v>4.6666666666666672E-4</v>
      </c>
      <c r="V67">
        <f t="shared" si="17"/>
        <v>1.546083745448733E-2</v>
      </c>
      <c r="W67">
        <f t="shared" si="18"/>
        <v>0.80714785269019917</v>
      </c>
      <c r="X67">
        <f t="shared" si="19"/>
        <v>3.6399264951963994E-3</v>
      </c>
      <c r="Y67" s="3">
        <f t="shared" si="20"/>
        <v>0.11214706743940951</v>
      </c>
    </row>
    <row r="68" spans="4:25" x14ac:dyDescent="0.35">
      <c r="D68">
        <f t="shared" si="21"/>
        <v>57</v>
      </c>
      <c r="E68">
        <f t="shared" si="0"/>
        <v>4.833333333333333</v>
      </c>
      <c r="F68">
        <f t="shared" si="1"/>
        <v>0.98797442942210667</v>
      </c>
      <c r="G68">
        <f t="shared" si="2"/>
        <v>1.2733696655104045</v>
      </c>
      <c r="H68">
        <f t="shared" si="3"/>
        <v>0.22956820394576077</v>
      </c>
      <c r="I68">
        <f t="shared" si="4"/>
        <v>2.0312500000000025E-2</v>
      </c>
      <c r="J68">
        <f t="shared" si="5"/>
        <v>0.12500000000000006</v>
      </c>
      <c r="K68">
        <f t="shared" si="6"/>
        <v>1.9990456315660854</v>
      </c>
      <c r="L68">
        <f t="shared" si="7"/>
        <v>1.8740456315660854</v>
      </c>
      <c r="M68">
        <f t="shared" si="8"/>
        <v>3.0462067976782116E-2</v>
      </c>
      <c r="N68">
        <f t="shared" si="9"/>
        <v>2.2801708421809615E-2</v>
      </c>
      <c r="O68">
        <f t="shared" si="10"/>
        <v>1.3978207526008125E-3</v>
      </c>
      <c r="P68" s="3">
        <f t="shared" si="11"/>
        <v>13.978207526008125</v>
      </c>
      <c r="Q68">
        <f t="shared" si="12"/>
        <v>4.8333333333333334E-4</v>
      </c>
      <c r="R68">
        <f t="shared" si="13"/>
        <v>1.6115356359107928E-2</v>
      </c>
      <c r="S68">
        <f t="shared" si="14"/>
        <v>7.2320661579626078E-2</v>
      </c>
      <c r="T68">
        <f t="shared" si="15"/>
        <v>0.79986260058773606</v>
      </c>
      <c r="U68">
        <f t="shared" si="16"/>
        <v>4.75E-4</v>
      </c>
      <c r="V68">
        <f t="shared" si="17"/>
        <v>1.5787110758945011E-2</v>
      </c>
      <c r="W68">
        <f t="shared" si="18"/>
        <v>0.80350792619500278</v>
      </c>
      <c r="X68">
        <f t="shared" si="19"/>
        <v>3.645325607266714E-3</v>
      </c>
      <c r="Y68" s="3">
        <f t="shared" si="20"/>
        <v>5.0955117838245724E-2</v>
      </c>
    </row>
    <row r="69" spans="4:25" x14ac:dyDescent="0.35">
      <c r="D69">
        <f t="shared" si="21"/>
        <v>58</v>
      </c>
      <c r="E69">
        <f t="shared" si="0"/>
        <v>4.916666666666667</v>
      </c>
      <c r="F69">
        <f t="shared" si="1"/>
        <v>0.98776836519400235</v>
      </c>
      <c r="G69">
        <f t="shared" si="2"/>
        <v>1.278686441374322</v>
      </c>
      <c r="H69">
        <f t="shared" si="3"/>
        <v>0.23352627642758406</v>
      </c>
      <c r="I69">
        <f t="shared" si="4"/>
        <v>1.3541666666666641E-2</v>
      </c>
      <c r="J69">
        <f t="shared" si="5"/>
        <v>0.10206207261596566</v>
      </c>
      <c r="K69">
        <f t="shared" si="6"/>
        <v>2.4207615695196223</v>
      </c>
      <c r="L69">
        <f t="shared" si="7"/>
        <v>2.3186994969036565</v>
      </c>
      <c r="M69">
        <f t="shared" si="8"/>
        <v>1.0205667915546029E-2</v>
      </c>
      <c r="N69">
        <f t="shared" si="9"/>
        <v>7.7440160815386815E-3</v>
      </c>
      <c r="O69">
        <f t="shared" si="10"/>
        <v>3.3992540607310356E-4</v>
      </c>
      <c r="P69" s="3">
        <f t="shared" si="11"/>
        <v>3.3992540607310358</v>
      </c>
      <c r="Q69">
        <f t="shared" si="12"/>
        <v>4.9166666666666673E-4</v>
      </c>
      <c r="R69">
        <f t="shared" si="13"/>
        <v>1.6445586177343922E-2</v>
      </c>
      <c r="S69">
        <f t="shared" si="14"/>
        <v>7.2320661579626078E-2</v>
      </c>
      <c r="T69">
        <f t="shared" si="15"/>
        <v>0.79621196747751777</v>
      </c>
      <c r="U69">
        <f t="shared" si="16"/>
        <v>4.8333333333333339E-4</v>
      </c>
      <c r="V69">
        <f t="shared" si="17"/>
        <v>1.6115356359107939E-2</v>
      </c>
      <c r="W69">
        <f t="shared" si="18"/>
        <v>0.79986260058773595</v>
      </c>
      <c r="X69">
        <f t="shared" si="19"/>
        <v>3.6506331102181822E-3</v>
      </c>
      <c r="Y69" s="3">
        <f t="shared" si="20"/>
        <v>1.2409429424148327E-2</v>
      </c>
    </row>
    <row r="70" spans="4:25" x14ac:dyDescent="0.35">
      <c r="D70">
        <f t="shared" si="21"/>
        <v>59</v>
      </c>
      <c r="E70">
        <f t="shared" si="0"/>
        <v>5</v>
      </c>
      <c r="F70">
        <f t="shared" si="1"/>
        <v>0.98756234394521514</v>
      </c>
      <c r="G70">
        <f t="shared" si="2"/>
        <v>1.2840254166877414</v>
      </c>
      <c r="H70">
        <f t="shared" si="3"/>
        <v>0.23748434890940764</v>
      </c>
      <c r="I70">
        <f t="shared" si="4"/>
        <v>6.7708333333333336E-3</v>
      </c>
      <c r="J70">
        <f t="shared" si="5"/>
        <v>7.2168783648703216E-2</v>
      </c>
      <c r="K70">
        <f t="shared" si="6"/>
        <v>3.3844990852513828</v>
      </c>
      <c r="L70">
        <f t="shared" si="7"/>
        <v>3.3123303016026795</v>
      </c>
      <c r="M70">
        <f t="shared" si="8"/>
        <v>4.626111915393029E-4</v>
      </c>
      <c r="N70">
        <f t="shared" si="9"/>
        <v>3.5654128278619299E-4</v>
      </c>
      <c r="O70">
        <f t="shared" si="10"/>
        <v>8.5736451662917022E-6</v>
      </c>
      <c r="P70" s="3">
        <f t="shared" si="11"/>
        <v>8.5736451662917018E-2</v>
      </c>
      <c r="Q70">
        <f t="shared" si="12"/>
        <v>5.0000000000000001E-4</v>
      </c>
      <c r="R70">
        <f t="shared" si="13"/>
        <v>1.6777812208090555E-2</v>
      </c>
      <c r="S70">
        <f t="shared" si="14"/>
        <v>7.2320661579626078E-2</v>
      </c>
      <c r="T70">
        <f t="shared" si="15"/>
        <v>0.79255611950266247</v>
      </c>
      <c r="U70">
        <f t="shared" si="16"/>
        <v>4.9166666666666673E-4</v>
      </c>
      <c r="V70">
        <f t="shared" si="17"/>
        <v>1.6445586177343922E-2</v>
      </c>
      <c r="W70">
        <f t="shared" si="18"/>
        <v>0.79621196747751777</v>
      </c>
      <c r="X70">
        <f t="shared" si="19"/>
        <v>3.6558479748552974E-3</v>
      </c>
      <c r="Y70" s="3">
        <f t="shared" si="20"/>
        <v>3.1343943318315427E-4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3BCA-E651-46B4-8DD5-AAF46AD2F625}">
  <dimension ref="A1:V70"/>
  <sheetViews>
    <sheetView tabSelected="1" topLeftCell="E1" workbookViewId="0">
      <selection activeCell="R12" sqref="R12"/>
    </sheetView>
  </sheetViews>
  <sheetFormatPr defaultRowHeight="14.5" x14ac:dyDescent="0.35"/>
  <cols>
    <col min="1" max="1" width="14.54296875" bestFit="1" customWidth="1"/>
    <col min="3" max="3" width="31.453125" bestFit="1" customWidth="1"/>
    <col min="6" max="6" width="17.08984375" bestFit="1" customWidth="1"/>
    <col min="7" max="7" width="11.81640625" bestFit="1" customWidth="1"/>
    <col min="13" max="13" width="11.81640625" bestFit="1" customWidth="1"/>
    <col min="16" max="16" width="10.08984375" bestFit="1" customWidth="1"/>
    <col min="18" max="18" width="10" bestFit="1" customWidth="1"/>
  </cols>
  <sheetData>
    <row r="1" spans="1:22" x14ac:dyDescent="0.35">
      <c r="A1" t="str">
        <f>Data!A2</f>
        <v>Interest rate ( r )</v>
      </c>
      <c r="B1">
        <f>Data!B2</f>
        <v>0.05</v>
      </c>
      <c r="C1" t="str">
        <f>Data!C2</f>
        <v>risk-free/Continuously compounded</v>
      </c>
    </row>
    <row r="2" spans="1:22" x14ac:dyDescent="0.35">
      <c r="A2" t="str">
        <f>Data!A3</f>
        <v>Volatilitily</v>
      </c>
      <c r="B2">
        <f>Data!B3</f>
        <v>0.25</v>
      </c>
      <c r="C2" t="str">
        <f>Data!C3</f>
        <v>Annual</v>
      </c>
    </row>
    <row r="3" spans="1:22" x14ac:dyDescent="0.35">
      <c r="A3" t="str">
        <f>Data!A4</f>
        <v>A</v>
      </c>
      <c r="B3">
        <f>Data!B4</f>
        <v>1E-4</v>
      </c>
      <c r="C3" t="str">
        <f>Data!C4</f>
        <v>Makeham's Law</v>
      </c>
    </row>
    <row r="4" spans="1:22" x14ac:dyDescent="0.35">
      <c r="A4" t="str">
        <f>Data!A5</f>
        <v>B</v>
      </c>
      <c r="B4">
        <f>Data!B5</f>
        <v>3.5E-4</v>
      </c>
      <c r="C4" t="str">
        <f>Data!C5</f>
        <v>Makeham's Law</v>
      </c>
    </row>
    <row r="5" spans="1:22" x14ac:dyDescent="0.35">
      <c r="A5" t="str">
        <f>Data!A6</f>
        <v>c</v>
      </c>
      <c r="B5">
        <f>Data!B6</f>
        <v>1.075</v>
      </c>
      <c r="C5" t="str">
        <f>Data!C6</f>
        <v>Makeham's Law</v>
      </c>
    </row>
    <row r="6" spans="1:22" x14ac:dyDescent="0.35">
      <c r="A6" t="str">
        <f>Data!A7</f>
        <v>P</v>
      </c>
      <c r="B6">
        <f>Data!B7</f>
        <v>10000</v>
      </c>
      <c r="C6" t="str">
        <f>Data!C7</f>
        <v>Net single premuim</v>
      </c>
    </row>
    <row r="7" spans="1:22" x14ac:dyDescent="0.35">
      <c r="A7" t="str">
        <f>Data!A8</f>
        <v>x</v>
      </c>
      <c r="B7">
        <f>Data!B8</f>
        <v>65</v>
      </c>
      <c r="C7" t="str">
        <f>Data!C8</f>
        <v>Age-at-issue</v>
      </c>
    </row>
    <row r="8" spans="1:22" x14ac:dyDescent="0.35">
      <c r="A8" t="str">
        <f>Data!A9</f>
        <v>N</v>
      </c>
      <c r="B8">
        <f>Data!B9</f>
        <v>5</v>
      </c>
      <c r="C8" t="str">
        <f>Data!C9</f>
        <v>length of equity-linked insurance</v>
      </c>
      <c r="U8" t="s">
        <v>51</v>
      </c>
      <c r="V8">
        <f>SUM(S11:S70)</f>
        <v>383.03670668140109</v>
      </c>
    </row>
    <row r="9" spans="1:22" x14ac:dyDescent="0.35">
      <c r="A9" t="str">
        <f>Data!F2</f>
        <v>m</v>
      </c>
      <c r="B9">
        <f>Data!G2</f>
        <v>2.5000000000000001E-3</v>
      </c>
      <c r="C9" t="s">
        <v>42</v>
      </c>
    </row>
    <row r="10" spans="1:22" ht="61.5" x14ac:dyDescent="1.35">
      <c r="C10" t="s">
        <v>43</v>
      </c>
      <c r="D10" t="s">
        <v>53</v>
      </c>
      <c r="E10" t="s">
        <v>54</v>
      </c>
      <c r="F10" t="s">
        <v>52</v>
      </c>
      <c r="G10" t="s">
        <v>44</v>
      </c>
      <c r="H10" t="s">
        <v>45</v>
      </c>
      <c r="I10" t="s">
        <v>22</v>
      </c>
      <c r="J10" t="s">
        <v>46</v>
      </c>
      <c r="K10" t="s">
        <v>29</v>
      </c>
      <c r="L10" t="s">
        <v>28</v>
      </c>
      <c r="M10" t="s">
        <v>47</v>
      </c>
      <c r="N10" t="s">
        <v>48</v>
      </c>
      <c r="O10" t="s">
        <v>49</v>
      </c>
      <c r="P10" t="s">
        <v>55</v>
      </c>
      <c r="Q10" t="s">
        <v>56</v>
      </c>
      <c r="R10" t="s">
        <v>57</v>
      </c>
      <c r="S10" t="s">
        <v>50</v>
      </c>
    </row>
    <row r="11" spans="1:22" x14ac:dyDescent="0.35">
      <c r="C11">
        <v>1</v>
      </c>
      <c r="D11">
        <f>C11/12</f>
        <v>8.3333333333333329E-2</v>
      </c>
      <c r="E11">
        <f>D11-1/12</f>
        <v>0</v>
      </c>
      <c r="F11">
        <f>LN((1-$B$9)^D11/EXP($B$1*D11))</f>
        <v>-4.3752608515098971E-3</v>
      </c>
      <c r="G11">
        <f>($B$1+$B$9^2)*D11</f>
        <v>4.1671874999999999E-3</v>
      </c>
      <c r="H11">
        <f>$B$2*SQRT(D11)</f>
        <v>7.2168783648703216E-2</v>
      </c>
      <c r="I11">
        <f>(F11+G11)/H11</f>
        <v>-2.8831489321302422E-3</v>
      </c>
      <c r="J11">
        <f>I11-H11</f>
        <v>-7.5051932580833453E-2</v>
      </c>
      <c r="K11">
        <f>_xlfn.NORM.DIST(-J11,0,1,TRUE)</f>
        <v>0.52991330392707825</v>
      </c>
      <c r="L11">
        <f>_xlfn.NORM.DIST(-I11,0,1,TRUE)</f>
        <v>0.50115020841619373</v>
      </c>
      <c r="M11">
        <f>(1-$B$9)^(12*D11)</f>
        <v>0.99750000000000005</v>
      </c>
      <c r="N11">
        <f>K11-M11*L11</f>
        <v>3.0015971031924993E-2</v>
      </c>
      <c r="O11">
        <f>$B$6*N11</f>
        <v>300.15971031924994</v>
      </c>
      <c r="P11">
        <f>EXP(-E11*$B$3-$B$4*$B$5^$B$7*($B$5^E11-1)/LN($B$5))</f>
        <v>1</v>
      </c>
      <c r="Q11">
        <f>EXP(-D11*$B$3-$B$4*$B$5^$B$7*($B$5^D11-1)/LN($B$5))</f>
        <v>0.99677768167888059</v>
      </c>
      <c r="R11" s="4">
        <f>P11-Q11</f>
        <v>3.2223183211194106E-3</v>
      </c>
      <c r="S11">
        <f>R11*O11</f>
        <v>0.96721013382361409</v>
      </c>
    </row>
    <row r="12" spans="1:22" x14ac:dyDescent="0.35">
      <c r="C12">
        <f>C11+1</f>
        <v>2</v>
      </c>
      <c r="D12">
        <f t="shared" ref="D12:D70" si="0">C12/12</f>
        <v>0.16666666666666666</v>
      </c>
      <c r="E12">
        <f t="shared" ref="E12:E70" si="1">D12-1/12</f>
        <v>8.3333333333333329E-2</v>
      </c>
      <c r="F12">
        <f t="shared" ref="F12:F70" si="2">LN((1-$B$9)^D12/EXP($B$1*D12))</f>
        <v>-8.7505217030197958E-3</v>
      </c>
      <c r="G12">
        <f t="shared" ref="G12:G70" si="3">($B$1+$B$9^2)*D12</f>
        <v>8.3343749999999998E-3</v>
      </c>
      <c r="H12">
        <f t="shared" ref="H12:H70" si="4">$B$2*SQRT(D12)</f>
        <v>0.10206207261596575</v>
      </c>
      <c r="I12">
        <f t="shared" ref="I12:I70" si="5">(F12+G12)/H12</f>
        <v>-4.0773883221601115E-3</v>
      </c>
      <c r="J12">
        <f t="shared" ref="J12:J70" si="6">I12-H12</f>
        <v>-0.10613946093812586</v>
      </c>
      <c r="K12">
        <f t="shared" ref="K12:K70" si="7">_xlfn.NORM.DIST(-J12,0,1,TRUE)</f>
        <v>0.54226414867043049</v>
      </c>
      <c r="L12">
        <f t="shared" ref="L12:L70" si="8">_xlfn.NORM.DIST(-I12,0,1,TRUE)</f>
        <v>0.50162663808815455</v>
      </c>
      <c r="M12">
        <f t="shared" ref="M12:M70" si="9">(1-$B$9)^(12*D12)</f>
        <v>0.99500625000000009</v>
      </c>
      <c r="N12">
        <f t="shared" ref="N12:N70" si="10">K12-M12*L12</f>
        <v>4.3142508606228591E-2</v>
      </c>
      <c r="O12">
        <f t="shared" ref="O12:O70" si="11">$B$6*N12</f>
        <v>431.42508606228591</v>
      </c>
      <c r="P12">
        <f t="shared" ref="P12:P70" si="12">EXP(-E12*$B$3-$B$4*$B$5^$B$7*($B$5^E12-1)/LN($B$5))</f>
        <v>0.99677768167888059</v>
      </c>
      <c r="Q12">
        <f t="shared" ref="Q12:Q70" si="13">EXP(-D12*$B$3-$B$4*$B$5^$B$7*($B$5^D12-1)/LN($B$5))</f>
        <v>0.9935464123602874</v>
      </c>
      <c r="R12" s="4">
        <f t="shared" ref="R12:R70" si="14">P12-Q12</f>
        <v>3.2312693185931884E-3</v>
      </c>
      <c r="S12">
        <f t="shared" ref="S12:S70" si="15">R12*O12</f>
        <v>1.3940506438644902</v>
      </c>
    </row>
    <row r="13" spans="1:22" x14ac:dyDescent="0.35">
      <c r="C13">
        <f t="shared" ref="C13:C70" si="16">C12+1</f>
        <v>3</v>
      </c>
      <c r="D13">
        <f t="shared" si="0"/>
        <v>0.25</v>
      </c>
      <c r="E13">
        <f t="shared" si="1"/>
        <v>0.16666666666666669</v>
      </c>
      <c r="F13">
        <f t="shared" si="2"/>
        <v>-1.3125782554529614E-2</v>
      </c>
      <c r="G13">
        <f t="shared" si="3"/>
        <v>1.2501562500000001E-2</v>
      </c>
      <c r="H13">
        <f t="shared" si="4"/>
        <v>0.125</v>
      </c>
      <c r="I13">
        <f t="shared" si="5"/>
        <v>-4.9937604362369076E-3</v>
      </c>
      <c r="J13">
        <f t="shared" si="6"/>
        <v>-0.12999376043623689</v>
      </c>
      <c r="K13">
        <f t="shared" si="7"/>
        <v>0.55171431837310303</v>
      </c>
      <c r="L13">
        <f t="shared" si="8"/>
        <v>0.50199221389602078</v>
      </c>
      <c r="M13">
        <f t="shared" si="9"/>
        <v>0.99251873437500016</v>
      </c>
      <c r="N13">
        <f t="shared" si="10"/>
        <v>5.3477641570920109E-2</v>
      </c>
      <c r="O13">
        <f t="shared" si="11"/>
        <v>534.77641570920105</v>
      </c>
      <c r="P13">
        <f t="shared" si="12"/>
        <v>0.9935464123602874</v>
      </c>
      <c r="Q13">
        <f t="shared" si="13"/>
        <v>0.99030623012280516</v>
      </c>
      <c r="R13" s="4">
        <f t="shared" si="14"/>
        <v>3.2401822374822364E-3</v>
      </c>
      <c r="S13">
        <f t="shared" si="15"/>
        <v>1.7327730432053696</v>
      </c>
    </row>
    <row r="14" spans="1:22" x14ac:dyDescent="0.35">
      <c r="C14">
        <f t="shared" si="16"/>
        <v>4</v>
      </c>
      <c r="D14">
        <f t="shared" si="0"/>
        <v>0.33333333333333331</v>
      </c>
      <c r="E14">
        <f t="shared" si="1"/>
        <v>0.25</v>
      </c>
      <c r="F14">
        <f t="shared" si="2"/>
        <v>-1.750104340603938E-2</v>
      </c>
      <c r="G14">
        <f t="shared" si="3"/>
        <v>1.666875E-2</v>
      </c>
      <c r="H14">
        <f t="shared" si="4"/>
        <v>0.14433756729740643</v>
      </c>
      <c r="I14">
        <f t="shared" si="5"/>
        <v>-5.766297864259042E-3</v>
      </c>
      <c r="J14">
        <f t="shared" si="6"/>
        <v>-0.15010386516166546</v>
      </c>
      <c r="K14">
        <f t="shared" si="7"/>
        <v>0.55965866471047654</v>
      </c>
      <c r="L14">
        <f t="shared" si="8"/>
        <v>0.50230040727127079</v>
      </c>
      <c r="M14">
        <f t="shared" si="9"/>
        <v>0.9900374375390627</v>
      </c>
      <c r="N14">
        <f t="shared" si="10"/>
        <v>6.2362456620800033E-2</v>
      </c>
      <c r="O14">
        <f t="shared" si="11"/>
        <v>623.62456620800037</v>
      </c>
      <c r="P14">
        <f t="shared" si="12"/>
        <v>0.99030623012280516</v>
      </c>
      <c r="Q14">
        <f t="shared" si="13"/>
        <v>0.98705717388195557</v>
      </c>
      <c r="R14" s="4">
        <f t="shared" si="14"/>
        <v>3.2490562408495904E-3</v>
      </c>
      <c r="S14">
        <f t="shared" si="15"/>
        <v>2.0261912887852223</v>
      </c>
    </row>
    <row r="15" spans="1:22" x14ac:dyDescent="0.35">
      <c r="C15">
        <f t="shared" si="16"/>
        <v>5</v>
      </c>
      <c r="D15">
        <f t="shared" si="0"/>
        <v>0.41666666666666669</v>
      </c>
      <c r="E15">
        <f t="shared" si="1"/>
        <v>0.33333333333333337</v>
      </c>
      <c r="F15">
        <f t="shared" si="2"/>
        <v>-2.1876304257549415E-2</v>
      </c>
      <c r="G15">
        <f t="shared" si="3"/>
        <v>2.0835937500000002E-2</v>
      </c>
      <c r="H15">
        <f t="shared" si="4"/>
        <v>0.1613743060919757</v>
      </c>
      <c r="I15">
        <f t="shared" si="5"/>
        <v>-6.4469170014986978E-3</v>
      </c>
      <c r="J15">
        <f t="shared" si="6"/>
        <v>-0.16782122309347439</v>
      </c>
      <c r="K15">
        <f t="shared" si="7"/>
        <v>0.56663803716097649</v>
      </c>
      <c r="L15">
        <f t="shared" si="8"/>
        <v>0.50257192995404876</v>
      </c>
      <c r="M15">
        <f t="shared" si="9"/>
        <v>0.98756234394521514</v>
      </c>
      <c r="N15">
        <f t="shared" si="10"/>
        <v>7.0316924014485638E-2</v>
      </c>
      <c r="O15">
        <f t="shared" si="11"/>
        <v>703.16924014485642</v>
      </c>
      <c r="P15">
        <f t="shared" si="12"/>
        <v>0.98705717388195557</v>
      </c>
      <c r="Q15">
        <f t="shared" si="13"/>
        <v>0.98379928339569234</v>
      </c>
      <c r="R15" s="4">
        <f t="shared" si="14"/>
        <v>3.2578904862632374E-3</v>
      </c>
      <c r="S15">
        <f t="shared" si="15"/>
        <v>2.2908483777008772</v>
      </c>
    </row>
    <row r="16" spans="1:22" x14ac:dyDescent="0.35">
      <c r="C16">
        <f t="shared" si="16"/>
        <v>6</v>
      </c>
      <c r="D16">
        <f t="shared" si="0"/>
        <v>0.5</v>
      </c>
      <c r="E16">
        <f t="shared" si="1"/>
        <v>0.41666666666666669</v>
      </c>
      <c r="F16">
        <f t="shared" si="2"/>
        <v>-2.6251565109059322E-2</v>
      </c>
      <c r="G16">
        <f t="shared" si="3"/>
        <v>2.5003125000000001E-2</v>
      </c>
      <c r="H16">
        <f t="shared" si="4"/>
        <v>0.17677669529663689</v>
      </c>
      <c r="I16">
        <f t="shared" si="5"/>
        <v>-7.062243736168948E-3</v>
      </c>
      <c r="J16">
        <f t="shared" si="6"/>
        <v>-0.18383893903280585</v>
      </c>
      <c r="K16">
        <f t="shared" si="7"/>
        <v>0.57293009611128087</v>
      </c>
      <c r="L16">
        <f t="shared" si="8"/>
        <v>0.50281740420103149</v>
      </c>
      <c r="M16">
        <f t="shared" si="9"/>
        <v>0.9850934380853521</v>
      </c>
      <c r="N16">
        <f t="shared" si="10"/>
        <v>7.7607970677734617E-2</v>
      </c>
      <c r="O16">
        <f t="shared" si="11"/>
        <v>776.07970677734613</v>
      </c>
      <c r="P16">
        <f t="shared" si="12"/>
        <v>0.98379928339569234</v>
      </c>
      <c r="Q16">
        <f t="shared" si="13"/>
        <v>0.98053259926985681</v>
      </c>
      <c r="R16" s="4">
        <f t="shared" si="14"/>
        <v>3.2666841258355284E-3</v>
      </c>
      <c r="S16">
        <f t="shared" si="15"/>
        <v>2.5352072585126479</v>
      </c>
    </row>
    <row r="17" spans="3:19" x14ac:dyDescent="0.35">
      <c r="C17">
        <f t="shared" si="16"/>
        <v>7</v>
      </c>
      <c r="D17">
        <f t="shared" si="0"/>
        <v>0.58333333333333337</v>
      </c>
      <c r="E17">
        <f t="shared" si="1"/>
        <v>0.5</v>
      </c>
      <c r="F17">
        <f t="shared" si="2"/>
        <v>-3.0626825960569003E-2</v>
      </c>
      <c r="G17">
        <f t="shared" si="3"/>
        <v>2.9170312500000004E-2</v>
      </c>
      <c r="H17">
        <f t="shared" si="4"/>
        <v>0.19094065395649334</v>
      </c>
      <c r="I17">
        <f t="shared" si="5"/>
        <v>-7.6280950671765903E-3</v>
      </c>
      <c r="J17">
        <f t="shared" si="6"/>
        <v>-0.19856874902366994</v>
      </c>
      <c r="K17">
        <f t="shared" si="7"/>
        <v>0.57869994928075463</v>
      </c>
      <c r="L17">
        <f t="shared" si="8"/>
        <v>0.50304314012890083</v>
      </c>
      <c r="M17">
        <f t="shared" si="9"/>
        <v>0.98263070449013878</v>
      </c>
      <c r="N17">
        <f t="shared" si="10"/>
        <v>8.4394314106961188E-2</v>
      </c>
      <c r="O17">
        <f t="shared" si="11"/>
        <v>843.9431410696119</v>
      </c>
      <c r="P17">
        <f t="shared" si="12"/>
        <v>0.98053259926985681</v>
      </c>
      <c r="Q17">
        <f t="shared" si="13"/>
        <v>0.97725716296359122</v>
      </c>
      <c r="R17" s="4">
        <f t="shared" si="14"/>
        <v>3.2754363062655889E-3</v>
      </c>
      <c r="S17">
        <f t="shared" si="15"/>
        <v>2.7642820046832286</v>
      </c>
    </row>
    <row r="18" spans="3:19" x14ac:dyDescent="0.35">
      <c r="C18">
        <f t="shared" si="16"/>
        <v>8</v>
      </c>
      <c r="D18">
        <f t="shared" si="0"/>
        <v>0.66666666666666663</v>
      </c>
      <c r="E18">
        <f t="shared" si="1"/>
        <v>0.58333333333333326</v>
      </c>
      <c r="F18">
        <f t="shared" si="2"/>
        <v>-3.5002086812079003E-2</v>
      </c>
      <c r="G18">
        <f t="shared" si="3"/>
        <v>3.3337499999999999E-2</v>
      </c>
      <c r="H18">
        <f t="shared" si="4"/>
        <v>0.20412414523193151</v>
      </c>
      <c r="I18">
        <f t="shared" si="5"/>
        <v>-8.1547766443193399E-3</v>
      </c>
      <c r="J18">
        <f t="shared" si="6"/>
        <v>-0.21227892187625086</v>
      </c>
      <c r="K18">
        <f t="shared" si="7"/>
        <v>0.58405528069359169</v>
      </c>
      <c r="L18">
        <f t="shared" si="8"/>
        <v>0.5032532491335574</v>
      </c>
      <c r="M18">
        <f t="shared" si="9"/>
        <v>0.98017412772891344</v>
      </c>
      <c r="N18">
        <f t="shared" si="10"/>
        <v>9.0779466197365488E-2</v>
      </c>
      <c r="O18">
        <f t="shared" si="11"/>
        <v>907.79466197365491</v>
      </c>
      <c r="P18">
        <f t="shared" si="12"/>
        <v>0.97725716296359122</v>
      </c>
      <c r="Q18">
        <f t="shared" si="13"/>
        <v>0.97397301679470993</v>
      </c>
      <c r="R18" s="4">
        <f t="shared" si="14"/>
        <v>3.2841461688812856E-3</v>
      </c>
      <c r="S18">
        <f t="shared" si="15"/>
        <v>2.9813303612516604</v>
      </c>
    </row>
    <row r="19" spans="3:19" x14ac:dyDescent="0.35">
      <c r="C19">
        <f t="shared" si="16"/>
        <v>9</v>
      </c>
      <c r="D19">
        <f t="shared" si="0"/>
        <v>0.75</v>
      </c>
      <c r="E19">
        <f t="shared" si="1"/>
        <v>0.66666666666666663</v>
      </c>
      <c r="F19">
        <f t="shared" si="2"/>
        <v>-3.9377347663588844E-2</v>
      </c>
      <c r="G19">
        <f t="shared" si="3"/>
        <v>3.7504687500000002E-2</v>
      </c>
      <c r="H19">
        <f t="shared" si="4"/>
        <v>0.21650635094610965</v>
      </c>
      <c r="I19">
        <f t="shared" si="5"/>
        <v>-8.6494467963896537E-3</v>
      </c>
      <c r="J19">
        <f t="shared" si="6"/>
        <v>-0.2251557977424993</v>
      </c>
      <c r="K19">
        <f t="shared" si="7"/>
        <v>0.58907096257700653</v>
      </c>
      <c r="L19">
        <f t="shared" si="8"/>
        <v>0.50345058700435497</v>
      </c>
      <c r="M19">
        <f t="shared" si="9"/>
        <v>0.97772369240959123</v>
      </c>
      <c r="N19">
        <f t="shared" si="10"/>
        <v>9.683539570533245E-2</v>
      </c>
      <c r="O19">
        <f t="shared" si="11"/>
        <v>968.35395705332451</v>
      </c>
      <c r="P19">
        <f t="shared" si="12"/>
        <v>0.97397301679470993</v>
      </c>
      <c r="Q19">
        <f t="shared" si="13"/>
        <v>0.97068020394502519</v>
      </c>
      <c r="R19" s="4">
        <f t="shared" si="14"/>
        <v>3.2928128496847453E-3</v>
      </c>
      <c r="S19">
        <f t="shared" si="15"/>
        <v>3.1886083528282567</v>
      </c>
    </row>
    <row r="20" spans="3:19" x14ac:dyDescent="0.35">
      <c r="C20">
        <f t="shared" si="16"/>
        <v>10</v>
      </c>
      <c r="D20">
        <f t="shared" si="0"/>
        <v>0.83333333333333337</v>
      </c>
      <c r="E20">
        <f t="shared" si="1"/>
        <v>0.75</v>
      </c>
      <c r="F20">
        <f t="shared" si="2"/>
        <v>-4.3752608515098712E-2</v>
      </c>
      <c r="G20">
        <f t="shared" si="3"/>
        <v>4.1671875000000004E-2</v>
      </c>
      <c r="H20">
        <f t="shared" si="4"/>
        <v>0.22821773229381923</v>
      </c>
      <c r="I20">
        <f t="shared" si="5"/>
        <v>-9.117317459012628E-3</v>
      </c>
      <c r="J20">
        <f t="shared" si="6"/>
        <v>-0.23733504975283184</v>
      </c>
      <c r="K20">
        <f t="shared" si="7"/>
        <v>0.59380156351583957</v>
      </c>
      <c r="L20">
        <f t="shared" si="8"/>
        <v>0.50363723302705043</v>
      </c>
      <c r="M20">
        <f t="shared" si="9"/>
        <v>0.97527938317856722</v>
      </c>
      <c r="N20">
        <f t="shared" si="10"/>
        <v>0.1026145535434575</v>
      </c>
      <c r="O20">
        <f t="shared" si="11"/>
        <v>1026.1455354345751</v>
      </c>
      <c r="P20">
        <f t="shared" si="12"/>
        <v>0.97068020394502519</v>
      </c>
      <c r="Q20">
        <f t="shared" si="13"/>
        <v>0.96737876846562509</v>
      </c>
      <c r="R20" s="4">
        <f t="shared" si="14"/>
        <v>3.3014354794000944E-3</v>
      </c>
      <c r="S20">
        <f t="shared" si="15"/>
        <v>3.3877532777117132</v>
      </c>
    </row>
    <row r="21" spans="3:19" x14ac:dyDescent="0.35">
      <c r="C21">
        <f t="shared" si="16"/>
        <v>11</v>
      </c>
      <c r="D21">
        <f t="shared" si="0"/>
        <v>0.91666666666666663</v>
      </c>
      <c r="E21">
        <f t="shared" si="1"/>
        <v>0.83333333333333326</v>
      </c>
      <c r="F21">
        <f t="shared" si="2"/>
        <v>-4.812786936660874E-2</v>
      </c>
      <c r="G21">
        <f t="shared" si="3"/>
        <v>4.58390625E-2</v>
      </c>
      <c r="H21">
        <f t="shared" si="4"/>
        <v>0.23935677693908453</v>
      </c>
      <c r="I21">
        <f t="shared" si="5"/>
        <v>-9.562323222589323E-3</v>
      </c>
      <c r="J21">
        <f t="shared" si="6"/>
        <v>-0.24891910016167385</v>
      </c>
      <c r="K21">
        <f t="shared" si="7"/>
        <v>0.59828831978410602</v>
      </c>
      <c r="L21">
        <f t="shared" si="8"/>
        <v>0.50381475689662714</v>
      </c>
      <c r="M21">
        <f t="shared" si="9"/>
        <v>0.97284118472062087</v>
      </c>
      <c r="N21">
        <f t="shared" si="10"/>
        <v>0.10815657480505969</v>
      </c>
      <c r="O21">
        <f t="shared" si="11"/>
        <v>1081.565748050597</v>
      </c>
      <c r="P21">
        <f t="shared" si="12"/>
        <v>0.96737876846562509</v>
      </c>
      <c r="Q21">
        <f t="shared" si="13"/>
        <v>0.96406875528210523</v>
      </c>
      <c r="R21" s="4">
        <f t="shared" si="14"/>
        <v>3.3100131835198665E-3</v>
      </c>
      <c r="S21">
        <f t="shared" si="15"/>
        <v>3.5799968848910022</v>
      </c>
    </row>
    <row r="22" spans="3:19" x14ac:dyDescent="0.35">
      <c r="C22">
        <f t="shared" si="16"/>
        <v>12</v>
      </c>
      <c r="D22">
        <f t="shared" si="0"/>
        <v>1</v>
      </c>
      <c r="E22">
        <f t="shared" si="1"/>
        <v>0.91666666666666663</v>
      </c>
      <c r="F22">
        <f t="shared" si="2"/>
        <v>-5.2503130218118602E-2</v>
      </c>
      <c r="G22">
        <f t="shared" si="3"/>
        <v>5.0006250000000002E-2</v>
      </c>
      <c r="H22">
        <f t="shared" si="4"/>
        <v>0.25</v>
      </c>
      <c r="I22">
        <f t="shared" si="5"/>
        <v>-9.987520872474398E-3</v>
      </c>
      <c r="J22">
        <f t="shared" si="6"/>
        <v>-0.2599875208724744</v>
      </c>
      <c r="K22">
        <f t="shared" si="7"/>
        <v>0.60256330020200388</v>
      </c>
      <c r="L22">
        <f t="shared" si="8"/>
        <v>0.50398437811164498</v>
      </c>
      <c r="M22">
        <f t="shared" si="9"/>
        <v>0.97040908175881946</v>
      </c>
      <c r="N22">
        <f t="shared" si="10"/>
        <v>0.11349228261789279</v>
      </c>
      <c r="O22">
        <f t="shared" si="11"/>
        <v>1134.9228261789278</v>
      </c>
      <c r="P22">
        <f t="shared" si="12"/>
        <v>0.96406875528210523</v>
      </c>
      <c r="Q22">
        <f t="shared" si="13"/>
        <v>0.96075021019974827</v>
      </c>
      <c r="R22" s="4">
        <f t="shared" si="14"/>
        <v>3.3185450823569607E-3</v>
      </c>
      <c r="S22">
        <f t="shared" si="15"/>
        <v>3.7662925636707447</v>
      </c>
    </row>
    <row r="23" spans="3:19" x14ac:dyDescent="0.35">
      <c r="C23">
        <f t="shared" si="16"/>
        <v>13</v>
      </c>
      <c r="D23">
        <f t="shared" si="0"/>
        <v>1.0833333333333333</v>
      </c>
      <c r="E23">
        <f t="shared" si="1"/>
        <v>0.99999999999999989</v>
      </c>
      <c r="F23">
        <f t="shared" si="2"/>
        <v>-5.687839106962831E-2</v>
      </c>
      <c r="G23">
        <f t="shared" si="3"/>
        <v>5.4173437499999998E-2</v>
      </c>
      <c r="H23">
        <f t="shared" si="4"/>
        <v>0.26020824993326658</v>
      </c>
      <c r="I23">
        <f t="shared" si="5"/>
        <v>-1.0395341309593487E-2</v>
      </c>
      <c r="J23">
        <f t="shared" si="6"/>
        <v>-0.27060359124286004</v>
      </c>
      <c r="K23">
        <f t="shared" si="7"/>
        <v>0.6066520332797215</v>
      </c>
      <c r="L23">
        <f t="shared" si="8"/>
        <v>0.50414706647664154</v>
      </c>
      <c r="M23">
        <f t="shared" si="9"/>
        <v>0.96798305905442239</v>
      </c>
      <c r="N23">
        <f t="shared" si="10"/>
        <v>0.11864621365834876</v>
      </c>
      <c r="O23">
        <f t="shared" si="11"/>
        <v>1186.4621365834876</v>
      </c>
      <c r="P23">
        <f t="shared" si="12"/>
        <v>0.96075021019974827</v>
      </c>
      <c r="Q23">
        <f t="shared" si="13"/>
        <v>0.95742317990865233</v>
      </c>
      <c r="R23" s="4">
        <f t="shared" si="14"/>
        <v>3.3270302910959337E-3</v>
      </c>
      <c r="S23">
        <f t="shared" si="15"/>
        <v>3.9473954676516643</v>
      </c>
    </row>
    <row r="24" spans="3:19" x14ac:dyDescent="0.35">
      <c r="C24">
        <f t="shared" si="16"/>
        <v>14</v>
      </c>
      <c r="D24">
        <f t="shared" si="0"/>
        <v>1.1666666666666667</v>
      </c>
      <c r="E24">
        <f t="shared" si="1"/>
        <v>1.0833333333333335</v>
      </c>
      <c r="F24">
        <f t="shared" si="2"/>
        <v>-6.1253651921138373E-2</v>
      </c>
      <c r="G24">
        <f t="shared" si="3"/>
        <v>5.8340625000000007E-2</v>
      </c>
      <c r="H24">
        <f t="shared" si="4"/>
        <v>0.27003086243366087</v>
      </c>
      <c r="I24">
        <f t="shared" si="5"/>
        <v>-1.0787755499073801E-2</v>
      </c>
      <c r="J24">
        <f t="shared" si="6"/>
        <v>-0.28081861793273466</v>
      </c>
      <c r="K24">
        <f t="shared" si="7"/>
        <v>0.61057523852380857</v>
      </c>
      <c r="L24">
        <f t="shared" si="8"/>
        <v>0.50430360830650267</v>
      </c>
      <c r="M24">
        <f t="shared" si="9"/>
        <v>0.96556310140678636</v>
      </c>
      <c r="N24">
        <f t="shared" si="10"/>
        <v>0.12363828243674868</v>
      </c>
      <c r="O24">
        <f t="shared" si="11"/>
        <v>1236.3828243674868</v>
      </c>
      <c r="P24">
        <f t="shared" si="12"/>
        <v>0.95742317990865233</v>
      </c>
      <c r="Q24">
        <f t="shared" si="13"/>
        <v>0.95408771198880515</v>
      </c>
      <c r="R24" s="4">
        <f t="shared" si="14"/>
        <v>3.3354679198471793E-3</v>
      </c>
      <c r="S24">
        <f t="shared" si="15"/>
        <v>4.123915247327802</v>
      </c>
    </row>
    <row r="25" spans="3:19" x14ac:dyDescent="0.35">
      <c r="C25">
        <f t="shared" si="16"/>
        <v>15</v>
      </c>
      <c r="D25">
        <f t="shared" si="0"/>
        <v>1.25</v>
      </c>
      <c r="E25">
        <f t="shared" si="1"/>
        <v>1.1666666666666667</v>
      </c>
      <c r="F25">
        <f t="shared" si="2"/>
        <v>-6.5628912772647929E-2</v>
      </c>
      <c r="G25">
        <f t="shared" si="3"/>
        <v>6.250781250000001E-2</v>
      </c>
      <c r="H25">
        <f t="shared" si="4"/>
        <v>0.27950849718747373</v>
      </c>
      <c r="I25">
        <f t="shared" si="5"/>
        <v>-1.1166387798774201E-2</v>
      </c>
      <c r="J25">
        <f t="shared" si="6"/>
        <v>-0.29067488498624794</v>
      </c>
      <c r="K25">
        <f t="shared" si="7"/>
        <v>0.61435000925923988</v>
      </c>
      <c r="L25">
        <f t="shared" si="8"/>
        <v>0.50445465163833603</v>
      </c>
      <c r="M25">
        <f t="shared" si="9"/>
        <v>0.96314919365326945</v>
      </c>
      <c r="N25">
        <f t="shared" si="10"/>
        <v>0.12848491829913561</v>
      </c>
      <c r="O25">
        <f t="shared" si="11"/>
        <v>1284.849182991356</v>
      </c>
      <c r="P25">
        <f t="shared" si="12"/>
        <v>0.95408771198880515</v>
      </c>
      <c r="Q25">
        <f t="shared" si="13"/>
        <v>0.95074385491510316</v>
      </c>
      <c r="R25" s="4">
        <f t="shared" si="14"/>
        <v>3.3438570737019946E-3</v>
      </c>
      <c r="S25">
        <f t="shared" si="15"/>
        <v>4.2963520291858739</v>
      </c>
    </row>
    <row r="26" spans="3:19" x14ac:dyDescent="0.35">
      <c r="C26">
        <f t="shared" si="16"/>
        <v>16</v>
      </c>
      <c r="D26">
        <f t="shared" si="0"/>
        <v>1.3333333333333333</v>
      </c>
      <c r="E26">
        <f t="shared" si="1"/>
        <v>1.25</v>
      </c>
      <c r="F26">
        <f t="shared" si="2"/>
        <v>-7.000417362415802E-2</v>
      </c>
      <c r="G26">
        <f t="shared" si="3"/>
        <v>6.6674999999999998E-2</v>
      </c>
      <c r="H26">
        <f t="shared" si="4"/>
        <v>0.28867513459481287</v>
      </c>
      <c r="I26">
        <f t="shared" si="5"/>
        <v>-1.1532595728519815E-2</v>
      </c>
      <c r="J26">
        <f t="shared" si="6"/>
        <v>-0.3002077303233327</v>
      </c>
      <c r="K26">
        <f t="shared" si="7"/>
        <v>0.61799064553401428</v>
      </c>
      <c r="L26">
        <f t="shared" si="8"/>
        <v>0.50460073805504457</v>
      </c>
      <c r="M26">
        <f t="shared" si="9"/>
        <v>0.96074132066913631</v>
      </c>
      <c r="N26">
        <f t="shared" si="10"/>
        <v>0.13319986604438983</v>
      </c>
      <c r="O26">
        <f t="shared" si="11"/>
        <v>1331.9986604438982</v>
      </c>
      <c r="P26">
        <f t="shared" si="12"/>
        <v>0.95074385491510316</v>
      </c>
      <c r="Q26">
        <f t="shared" si="13"/>
        <v>0.94739165806231229</v>
      </c>
      <c r="R26" s="4">
        <f t="shared" si="14"/>
        <v>3.3521968527908674E-3</v>
      </c>
      <c r="S26">
        <f t="shared" si="15"/>
        <v>4.4651217174616864</v>
      </c>
    </row>
    <row r="27" spans="3:19" x14ac:dyDescent="0.35">
      <c r="C27">
        <f t="shared" si="16"/>
        <v>17</v>
      </c>
      <c r="D27">
        <f t="shared" si="0"/>
        <v>1.4166666666666667</v>
      </c>
      <c r="E27">
        <f t="shared" si="1"/>
        <v>1.3333333333333335</v>
      </c>
      <c r="F27">
        <f t="shared" si="2"/>
        <v>-7.4379434475667847E-2</v>
      </c>
      <c r="G27">
        <f t="shared" si="3"/>
        <v>7.0842187500000001E-2</v>
      </c>
      <c r="H27">
        <f t="shared" si="4"/>
        <v>0.29755951785595208</v>
      </c>
      <c r="I27">
        <f t="shared" si="5"/>
        <v>-1.1887527581558388E-2</v>
      </c>
      <c r="J27">
        <f t="shared" si="6"/>
        <v>-0.30944704543751045</v>
      </c>
      <c r="K27">
        <f t="shared" si="7"/>
        <v>0.62150925591414885</v>
      </c>
      <c r="L27">
        <f t="shared" si="8"/>
        <v>0.50474232566916766</v>
      </c>
      <c r="M27">
        <f t="shared" si="9"/>
        <v>0.95833946736746356</v>
      </c>
      <c r="N27">
        <f t="shared" si="10"/>
        <v>0.13779476437454391</v>
      </c>
      <c r="O27">
        <f t="shared" si="11"/>
        <v>1377.9476437454391</v>
      </c>
      <c r="P27">
        <f t="shared" si="12"/>
        <v>0.94739165806231229</v>
      </c>
      <c r="Q27">
        <f t="shared" si="13"/>
        <v>0.94403117170996975</v>
      </c>
      <c r="R27" s="4">
        <f t="shared" si="14"/>
        <v>3.3604863523425399E-3</v>
      </c>
      <c r="S27">
        <f t="shared" si="15"/>
        <v>4.6305742510491079</v>
      </c>
    </row>
    <row r="28" spans="3:19" x14ac:dyDescent="0.35">
      <c r="C28">
        <f t="shared" si="16"/>
        <v>18</v>
      </c>
      <c r="D28">
        <f t="shared" si="0"/>
        <v>1.5</v>
      </c>
      <c r="E28">
        <f t="shared" si="1"/>
        <v>1.4166666666666667</v>
      </c>
      <c r="F28">
        <f t="shared" si="2"/>
        <v>-7.875469532717766E-2</v>
      </c>
      <c r="G28">
        <f t="shared" si="3"/>
        <v>7.5009375000000003E-2</v>
      </c>
      <c r="H28">
        <f t="shared" si="4"/>
        <v>0.30618621784789724</v>
      </c>
      <c r="I28">
        <f t="shared" si="5"/>
        <v>-1.2232164966478675E-2</v>
      </c>
      <c r="J28">
        <f t="shared" si="6"/>
        <v>-0.3184183828143759</v>
      </c>
      <c r="K28">
        <f t="shared" si="7"/>
        <v>0.62491620204975251</v>
      </c>
      <c r="L28">
        <f t="shared" si="8"/>
        <v>0.50487980609480632</v>
      </c>
      <c r="M28">
        <f t="shared" si="9"/>
        <v>0.95594361869904487</v>
      </c>
      <c r="N28">
        <f t="shared" si="10"/>
        <v>0.14227957320341128</v>
      </c>
      <c r="O28">
        <f t="shared" si="11"/>
        <v>1422.7957320341129</v>
      </c>
      <c r="P28">
        <f t="shared" si="12"/>
        <v>0.94403117170996975</v>
      </c>
      <c r="Q28">
        <f t="shared" si="13"/>
        <v>0.9406624470472239</v>
      </c>
      <c r="R28" s="4">
        <f t="shared" si="14"/>
        <v>3.3687246627458478E-3</v>
      </c>
      <c r="S28">
        <f t="shared" si="15"/>
        <v>4.7930070725528484</v>
      </c>
    </row>
    <row r="29" spans="3:19" x14ac:dyDescent="0.35">
      <c r="C29">
        <f t="shared" si="16"/>
        <v>19</v>
      </c>
      <c r="D29">
        <f t="shared" si="0"/>
        <v>1.5833333333333333</v>
      </c>
      <c r="E29">
        <f t="shared" si="1"/>
        <v>1.5</v>
      </c>
      <c r="F29">
        <f t="shared" si="2"/>
        <v>-8.3129956178687611E-2</v>
      </c>
      <c r="G29">
        <f t="shared" si="3"/>
        <v>7.9176562500000006E-2</v>
      </c>
      <c r="H29">
        <f t="shared" si="4"/>
        <v>0.31457643480294789</v>
      </c>
      <c r="I29">
        <f t="shared" si="5"/>
        <v>-1.2567354834331534E-2</v>
      </c>
      <c r="J29">
        <f t="shared" si="6"/>
        <v>-0.32714378963727941</v>
      </c>
      <c r="K29">
        <f t="shared" si="7"/>
        <v>0.62822043349943235</v>
      </c>
      <c r="L29">
        <f t="shared" si="8"/>
        <v>0.50501351722472032</v>
      </c>
      <c r="M29">
        <f t="shared" si="9"/>
        <v>0.95355375965229738</v>
      </c>
      <c r="N29">
        <f t="shared" si="10"/>
        <v>0.14666289547457007</v>
      </c>
      <c r="O29">
        <f t="shared" si="11"/>
        <v>1466.6289547457006</v>
      </c>
      <c r="P29">
        <f t="shared" si="12"/>
        <v>0.9406624470472239</v>
      </c>
      <c r="Q29">
        <f t="shared" si="13"/>
        <v>0.93728553617761201</v>
      </c>
      <c r="R29" s="4">
        <f t="shared" si="14"/>
        <v>3.3769108696118932E-3</v>
      </c>
      <c r="S29">
        <f t="shared" si="15"/>
        <v>4.9526752589682861</v>
      </c>
    </row>
    <row r="30" spans="3:19" x14ac:dyDescent="0.35">
      <c r="C30">
        <f t="shared" si="16"/>
        <v>20</v>
      </c>
      <c r="D30">
        <f t="shared" si="0"/>
        <v>1.6666666666666667</v>
      </c>
      <c r="E30">
        <f t="shared" si="1"/>
        <v>1.5833333333333335</v>
      </c>
      <c r="F30">
        <f t="shared" si="2"/>
        <v>-8.7505217030197632E-2</v>
      </c>
      <c r="G30">
        <f t="shared" si="3"/>
        <v>8.3343750000000008E-2</v>
      </c>
      <c r="H30">
        <f t="shared" si="4"/>
        <v>0.3227486121839514</v>
      </c>
      <c r="I30">
        <f t="shared" si="5"/>
        <v>-1.2893834002997309E-2</v>
      </c>
      <c r="J30">
        <f t="shared" si="6"/>
        <v>-0.33564244618694872</v>
      </c>
      <c r="K30">
        <f t="shared" si="7"/>
        <v>0.63142974422408271</v>
      </c>
      <c r="L30">
        <f t="shared" si="8"/>
        <v>0.50514375301423631</v>
      </c>
      <c r="M30">
        <f t="shared" si="9"/>
        <v>0.95116987525316665</v>
      </c>
      <c r="N30">
        <f t="shared" si="10"/>
        <v>0.15095222368461514</v>
      </c>
      <c r="O30">
        <f t="shared" si="11"/>
        <v>1509.5222368461514</v>
      </c>
      <c r="P30">
        <f t="shared" si="12"/>
        <v>0.93728553617761201</v>
      </c>
      <c r="Q30">
        <f t="shared" si="13"/>
        <v>0.93390049212377158</v>
      </c>
      <c r="R30" s="4">
        <f t="shared" si="14"/>
        <v>3.3850440538404358E-3</v>
      </c>
      <c r="S30">
        <f t="shared" si="15"/>
        <v>5.1097992719759784</v>
      </c>
    </row>
    <row r="31" spans="3:19" x14ac:dyDescent="0.35">
      <c r="C31">
        <f t="shared" si="16"/>
        <v>21</v>
      </c>
      <c r="D31">
        <f t="shared" si="0"/>
        <v>1.75</v>
      </c>
      <c r="E31">
        <f t="shared" si="1"/>
        <v>1.6666666666666667</v>
      </c>
      <c r="F31">
        <f t="shared" si="2"/>
        <v>-9.1880477881707487E-2</v>
      </c>
      <c r="G31">
        <f t="shared" si="3"/>
        <v>8.7510937499999997E-2</v>
      </c>
      <c r="H31">
        <f t="shared" si="4"/>
        <v>0.33071891388307384</v>
      </c>
      <c r="I31">
        <f t="shared" si="5"/>
        <v>-1.3212248221316872E-2</v>
      </c>
      <c r="J31">
        <f t="shared" si="6"/>
        <v>-0.34393116210439073</v>
      </c>
      <c r="K31">
        <f t="shared" si="7"/>
        <v>0.63455097205618105</v>
      </c>
      <c r="L31">
        <f t="shared" si="8"/>
        <v>0.50527077108681828</v>
      </c>
      <c r="M31">
        <f t="shared" si="9"/>
        <v>0.94879195056503385</v>
      </c>
      <c r="N31">
        <f t="shared" si="10"/>
        <v>0.15515413159322</v>
      </c>
      <c r="O31">
        <f t="shared" si="11"/>
        <v>1551.5413159322</v>
      </c>
      <c r="P31">
        <f t="shared" si="12"/>
        <v>0.93390049212377158</v>
      </c>
      <c r="Q31">
        <f t="shared" si="13"/>
        <v>0.93050736883208474</v>
      </c>
      <c r="R31" s="4">
        <f t="shared" si="14"/>
        <v>3.3931232916868392E-3</v>
      </c>
      <c r="S31">
        <f t="shared" si="15"/>
        <v>5.2645709771039968</v>
      </c>
    </row>
    <row r="32" spans="3:19" x14ac:dyDescent="0.35">
      <c r="C32">
        <f t="shared" si="16"/>
        <v>22</v>
      </c>
      <c r="D32">
        <f t="shared" si="0"/>
        <v>1.8333333333333333</v>
      </c>
      <c r="E32">
        <f t="shared" si="1"/>
        <v>1.75</v>
      </c>
      <c r="F32">
        <f t="shared" si="2"/>
        <v>-9.6255738733217105E-2</v>
      </c>
      <c r="G32">
        <f t="shared" si="3"/>
        <v>9.1678124999999999E-2</v>
      </c>
      <c r="H32">
        <f t="shared" si="4"/>
        <v>0.338501600193165</v>
      </c>
      <c r="I32">
        <f t="shared" si="5"/>
        <v>-1.3523167189179914E-2</v>
      </c>
      <c r="J32">
        <f t="shared" si="6"/>
        <v>-0.35202476738234489</v>
      </c>
      <c r="K32">
        <f t="shared" si="7"/>
        <v>0.6375901559211874</v>
      </c>
      <c r="L32">
        <f t="shared" si="8"/>
        <v>0.50539479872628579</v>
      </c>
      <c r="M32">
        <f t="shared" si="9"/>
        <v>0.94641997068862127</v>
      </c>
      <c r="N32">
        <f t="shared" si="10"/>
        <v>0.15927442532447433</v>
      </c>
      <c r="O32">
        <f t="shared" si="11"/>
        <v>1592.7442532447433</v>
      </c>
      <c r="P32">
        <f t="shared" si="12"/>
        <v>0.93050736883208474</v>
      </c>
      <c r="Q32">
        <f t="shared" si="13"/>
        <v>0.92710622117725383</v>
      </c>
      <c r="R32" s="4">
        <f t="shared" si="14"/>
        <v>3.401147654830905E-3</v>
      </c>
      <c r="S32">
        <f t="shared" si="15"/>
        <v>5.4171583816687594</v>
      </c>
    </row>
    <row r="33" spans="3:19" x14ac:dyDescent="0.35">
      <c r="C33">
        <f t="shared" si="16"/>
        <v>23</v>
      </c>
      <c r="D33">
        <f t="shared" si="0"/>
        <v>1.9166666666666667</v>
      </c>
      <c r="E33">
        <f t="shared" si="1"/>
        <v>1.8333333333333335</v>
      </c>
      <c r="F33">
        <f t="shared" si="2"/>
        <v>-0.10063099958472706</v>
      </c>
      <c r="G33">
        <f t="shared" si="3"/>
        <v>9.5845312500000002E-2</v>
      </c>
      <c r="H33">
        <f t="shared" si="4"/>
        <v>0.34610932762158647</v>
      </c>
      <c r="I33">
        <f t="shared" si="5"/>
        <v>-1.3827096535113945E-2</v>
      </c>
      <c r="J33">
        <f t="shared" si="6"/>
        <v>-0.35993642415670041</v>
      </c>
      <c r="K33">
        <f t="shared" si="7"/>
        <v>0.64055266126391508</v>
      </c>
      <c r="L33">
        <f t="shared" si="8"/>
        <v>0.50551603765523756</v>
      </c>
      <c r="M33">
        <f t="shared" si="9"/>
        <v>0.94405392076189976</v>
      </c>
      <c r="N33">
        <f t="shared" si="10"/>
        <v>0.1633182639074679</v>
      </c>
      <c r="O33">
        <f t="shared" si="11"/>
        <v>1633.1826390746789</v>
      </c>
      <c r="P33">
        <f t="shared" si="12"/>
        <v>0.92710622117725383</v>
      </c>
      <c r="Q33">
        <f t="shared" si="13"/>
        <v>0.92369710496680546</v>
      </c>
      <c r="R33" s="4">
        <f t="shared" si="14"/>
        <v>3.4091162104483708E-3</v>
      </c>
      <c r="S33">
        <f t="shared" si="15"/>
        <v>5.5677094094923385</v>
      </c>
    </row>
    <row r="34" spans="3:19" x14ac:dyDescent="0.35">
      <c r="C34">
        <f t="shared" si="16"/>
        <v>24</v>
      </c>
      <c r="D34">
        <f t="shared" si="0"/>
        <v>2</v>
      </c>
      <c r="E34">
        <f t="shared" si="1"/>
        <v>1.9166666666666667</v>
      </c>
      <c r="F34">
        <f t="shared" si="2"/>
        <v>-0.10500626043623705</v>
      </c>
      <c r="G34">
        <f t="shared" si="3"/>
        <v>0.1000125</v>
      </c>
      <c r="H34">
        <f t="shared" si="4"/>
        <v>0.35355339059327379</v>
      </c>
      <c r="I34">
        <f t="shared" si="5"/>
        <v>-1.4124487472337228E-2</v>
      </c>
      <c r="J34">
        <f t="shared" si="6"/>
        <v>-0.36767787806561103</v>
      </c>
      <c r="K34">
        <f t="shared" si="7"/>
        <v>0.64344328120643646</v>
      </c>
      <c r="L34">
        <f t="shared" si="8"/>
        <v>0.50563466788730893</v>
      </c>
      <c r="M34">
        <f t="shared" si="9"/>
        <v>0.94169378595999498</v>
      </c>
      <c r="N34">
        <f t="shared" si="10"/>
        <v>0.16729025649101181</v>
      </c>
      <c r="O34">
        <f t="shared" si="11"/>
        <v>1672.9025649101181</v>
      </c>
      <c r="P34">
        <f t="shared" si="12"/>
        <v>0.92369710496680546</v>
      </c>
      <c r="Q34">
        <f t="shared" si="13"/>
        <v>0.9202800769455215</v>
      </c>
      <c r="R34" s="4">
        <f t="shared" si="14"/>
        <v>3.4170280212839632E-3</v>
      </c>
      <c r="S34">
        <f t="shared" si="15"/>
        <v>5.7163549411756875</v>
      </c>
    </row>
    <row r="35" spans="3:19" x14ac:dyDescent="0.35">
      <c r="C35">
        <f t="shared" si="16"/>
        <v>25</v>
      </c>
      <c r="D35">
        <f t="shared" si="0"/>
        <v>2.0833333333333335</v>
      </c>
      <c r="E35">
        <f t="shared" si="1"/>
        <v>2</v>
      </c>
      <c r="F35">
        <f t="shared" si="2"/>
        <v>-0.10938152128774679</v>
      </c>
      <c r="G35">
        <f t="shared" si="3"/>
        <v>0.10417968750000001</v>
      </c>
      <c r="H35">
        <f t="shared" si="4"/>
        <v>0.36084391824351614</v>
      </c>
      <c r="I35">
        <f t="shared" si="5"/>
        <v>-1.441574466064943E-2</v>
      </c>
      <c r="J35">
        <f t="shared" si="6"/>
        <v>-0.37525966290416557</v>
      </c>
      <c r="K35">
        <f t="shared" si="7"/>
        <v>0.64626631894434483</v>
      </c>
      <c r="L35">
        <f t="shared" si="8"/>
        <v>0.50575085086365401</v>
      </c>
      <c r="M35">
        <f t="shared" si="9"/>
        <v>0.93933955149509507</v>
      </c>
      <c r="N35">
        <f t="shared" si="10"/>
        <v>0.17119454152581737</v>
      </c>
      <c r="O35">
        <f t="shared" si="11"/>
        <v>1711.9454152581736</v>
      </c>
      <c r="P35">
        <f t="shared" si="12"/>
        <v>0.9202800769455215</v>
      </c>
      <c r="Q35">
        <f t="shared" si="13"/>
        <v>0.91685519479979405</v>
      </c>
      <c r="R35" s="4">
        <f t="shared" si="14"/>
        <v>3.4248821457274481E-3</v>
      </c>
      <c r="S35">
        <f t="shared" si="15"/>
        <v>5.8632112871776805</v>
      </c>
    </row>
    <row r="36" spans="3:19" x14ac:dyDescent="0.35">
      <c r="C36">
        <f t="shared" si="16"/>
        <v>26</v>
      </c>
      <c r="D36">
        <f t="shared" si="0"/>
        <v>2.1666666666666665</v>
      </c>
      <c r="E36">
        <f t="shared" si="1"/>
        <v>2.083333333333333</v>
      </c>
      <c r="F36">
        <f t="shared" si="2"/>
        <v>-0.1137567821392567</v>
      </c>
      <c r="G36">
        <f t="shared" si="3"/>
        <v>0.108346875</v>
      </c>
      <c r="H36">
        <f t="shared" si="4"/>
        <v>0.3679900360969936</v>
      </c>
      <c r="I36">
        <f t="shared" si="5"/>
        <v>-1.4701232665524627E-2</v>
      </c>
      <c r="J36">
        <f t="shared" si="6"/>
        <v>-0.38269126876251824</v>
      </c>
      <c r="K36">
        <f t="shared" si="7"/>
        <v>0.64902565546924718</v>
      </c>
      <c r="L36">
        <f t="shared" si="8"/>
        <v>0.50586473202978666</v>
      </c>
      <c r="M36">
        <f t="shared" si="9"/>
        <v>0.93699120261635727</v>
      </c>
      <c r="N36">
        <f t="shared" si="10"/>
        <v>0.17503485184345607</v>
      </c>
      <c r="O36">
        <f t="shared" si="11"/>
        <v>1750.3485184345607</v>
      </c>
      <c r="P36">
        <f t="shared" si="12"/>
        <v>0.91685519479979405</v>
      </c>
      <c r="Q36">
        <f t="shared" si="13"/>
        <v>0.91342251716190437</v>
      </c>
      <c r="R36" s="4">
        <f t="shared" si="14"/>
        <v>3.4326776378896806E-3</v>
      </c>
      <c r="S36">
        <f t="shared" si="15"/>
        <v>6.0083822177436499</v>
      </c>
    </row>
    <row r="37" spans="3:19" x14ac:dyDescent="0.35">
      <c r="C37">
        <f t="shared" si="16"/>
        <v>27</v>
      </c>
      <c r="D37">
        <f t="shared" si="0"/>
        <v>2.25</v>
      </c>
      <c r="E37">
        <f t="shared" si="1"/>
        <v>2.1666666666666665</v>
      </c>
      <c r="F37">
        <f t="shared" si="2"/>
        <v>-0.1181320429907666</v>
      </c>
      <c r="G37">
        <f t="shared" si="3"/>
        <v>0.11251406250000001</v>
      </c>
      <c r="H37">
        <f t="shared" si="4"/>
        <v>0.375</v>
      </c>
      <c r="I37">
        <f t="shared" si="5"/>
        <v>-1.4981281308710903E-2</v>
      </c>
      <c r="J37">
        <f t="shared" si="6"/>
        <v>-0.3899812813087109</v>
      </c>
      <c r="K37">
        <f t="shared" si="7"/>
        <v>0.65172480569234081</v>
      </c>
      <c r="L37">
        <f t="shared" si="8"/>
        <v>0.50597644297019184</v>
      </c>
      <c r="M37">
        <f t="shared" si="9"/>
        <v>0.93464872460981652</v>
      </c>
      <c r="N37">
        <f t="shared" si="10"/>
        <v>0.17881456858763944</v>
      </c>
      <c r="O37">
        <f t="shared" si="11"/>
        <v>1788.1456858763945</v>
      </c>
      <c r="P37">
        <f t="shared" si="12"/>
        <v>0.91342251716190437</v>
      </c>
      <c r="Q37">
        <f t="shared" si="13"/>
        <v>0.90998210361422061</v>
      </c>
      <c r="R37" s="4">
        <f t="shared" si="14"/>
        <v>3.4404135476837627E-3</v>
      </c>
      <c r="S37">
        <f t="shared" si="15"/>
        <v>6.1519606429214218</v>
      </c>
    </row>
    <row r="38" spans="3:19" x14ac:dyDescent="0.35">
      <c r="C38">
        <f t="shared" si="16"/>
        <v>28</v>
      </c>
      <c r="D38">
        <f t="shared" si="0"/>
        <v>2.3333333333333335</v>
      </c>
      <c r="E38">
        <f t="shared" si="1"/>
        <v>2.25</v>
      </c>
      <c r="F38">
        <f t="shared" si="2"/>
        <v>-0.1225073038422765</v>
      </c>
      <c r="G38">
        <f t="shared" si="3"/>
        <v>0.11668125000000001</v>
      </c>
      <c r="H38">
        <f t="shared" si="4"/>
        <v>0.38188130791298669</v>
      </c>
      <c r="I38">
        <f t="shared" si="5"/>
        <v>-1.5256190134354452E-2</v>
      </c>
      <c r="J38">
        <f t="shared" si="6"/>
        <v>-0.39713749804734116</v>
      </c>
      <c r="K38">
        <f t="shared" si="7"/>
        <v>0.65436696531003891</v>
      </c>
      <c r="L38">
        <f t="shared" si="8"/>
        <v>0.50608610319007852</v>
      </c>
      <c r="M38">
        <f t="shared" si="9"/>
        <v>0.93231210279829213</v>
      </c>
      <c r="N38">
        <f t="shared" si="10"/>
        <v>0.18253676624790333</v>
      </c>
      <c r="O38">
        <f t="shared" si="11"/>
        <v>1825.3676624790332</v>
      </c>
      <c r="P38">
        <f t="shared" si="12"/>
        <v>0.90998210361422061</v>
      </c>
      <c r="Q38">
        <f t="shared" si="13"/>
        <v>0.9065340146933154</v>
      </c>
      <c r="R38" s="4">
        <f t="shared" si="14"/>
        <v>3.4480889209052012E-3</v>
      </c>
      <c r="S38">
        <f t="shared" si="15"/>
        <v>6.2940300135725797</v>
      </c>
    </row>
    <row r="39" spans="3:19" x14ac:dyDescent="0.35">
      <c r="C39">
        <f t="shared" si="16"/>
        <v>29</v>
      </c>
      <c r="D39">
        <f t="shared" si="0"/>
        <v>2.4166666666666665</v>
      </c>
      <c r="E39">
        <f t="shared" si="1"/>
        <v>2.333333333333333</v>
      </c>
      <c r="F39">
        <f t="shared" si="2"/>
        <v>-0.12688256469378636</v>
      </c>
      <c r="G39">
        <f t="shared" si="3"/>
        <v>0.1208484375</v>
      </c>
      <c r="H39">
        <f t="shared" si="4"/>
        <v>0.3886407938787006</v>
      </c>
      <c r="I39">
        <f t="shared" si="5"/>
        <v>-1.552623216303352E-2</v>
      </c>
      <c r="J39">
        <f t="shared" si="6"/>
        <v>-0.4041670260417341</v>
      </c>
      <c r="K39">
        <f t="shared" si="7"/>
        <v>0.65695505021371925</v>
      </c>
      <c r="L39">
        <f t="shared" si="8"/>
        <v>0.50619382161304594</v>
      </c>
      <c r="M39">
        <f t="shared" si="9"/>
        <v>0.92998132254129628</v>
      </c>
      <c r="N39">
        <f t="shared" si="10"/>
        <v>0.18620425052778578</v>
      </c>
      <c r="O39">
        <f t="shared" si="11"/>
        <v>1862.0425052778578</v>
      </c>
      <c r="P39">
        <f t="shared" si="12"/>
        <v>0.9065340146933154</v>
      </c>
      <c r="Q39">
        <f t="shared" si="13"/>
        <v>0.9030783118939989</v>
      </c>
      <c r="R39" s="4">
        <f t="shared" si="14"/>
        <v>3.4557027993165068E-3</v>
      </c>
      <c r="S39">
        <f t="shared" si="15"/>
        <v>6.4346654979350149</v>
      </c>
    </row>
    <row r="40" spans="3:19" x14ac:dyDescent="0.35">
      <c r="C40">
        <f t="shared" si="16"/>
        <v>30</v>
      </c>
      <c r="D40">
        <f t="shared" si="0"/>
        <v>2.5</v>
      </c>
      <c r="E40">
        <f t="shared" si="1"/>
        <v>2.4166666666666665</v>
      </c>
      <c r="F40">
        <f t="shared" si="2"/>
        <v>-0.13125782554529627</v>
      </c>
      <c r="G40">
        <f t="shared" si="3"/>
        <v>0.12501562500000002</v>
      </c>
      <c r="H40">
        <f t="shared" si="4"/>
        <v>0.39528470752104744</v>
      </c>
      <c r="I40">
        <f t="shared" si="5"/>
        <v>-1.579165706774498E-2</v>
      </c>
      <c r="J40">
        <f t="shared" si="6"/>
        <v>-0.41107636458879243</v>
      </c>
      <c r="K40">
        <f t="shared" si="7"/>
        <v>0.65949172984509008</v>
      </c>
      <c r="L40">
        <f t="shared" si="8"/>
        <v>0.50629969784813911</v>
      </c>
      <c r="M40">
        <f t="shared" si="9"/>
        <v>0.9276563692349431</v>
      </c>
      <c r="N40">
        <f t="shared" si="10"/>
        <v>0.18981959039453661</v>
      </c>
      <c r="O40">
        <f t="shared" si="11"/>
        <v>1898.1959039453661</v>
      </c>
      <c r="P40">
        <f t="shared" si="12"/>
        <v>0.9030783118939989</v>
      </c>
      <c r="Q40">
        <f t="shared" si="13"/>
        <v>0.89961505767326599</v>
      </c>
      <c r="R40" s="4">
        <f t="shared" si="14"/>
        <v>3.4632542207329031E-3</v>
      </c>
      <c r="S40">
        <f t="shared" si="15"/>
        <v>6.5739349761166972</v>
      </c>
    </row>
    <row r="41" spans="3:19" x14ac:dyDescent="0.35">
      <c r="C41">
        <f t="shared" si="16"/>
        <v>31</v>
      </c>
      <c r="D41">
        <f t="shared" si="0"/>
        <v>2.5833333333333335</v>
      </c>
      <c r="E41">
        <f t="shared" si="1"/>
        <v>2.5</v>
      </c>
      <c r="F41">
        <f t="shared" si="2"/>
        <v>-0.13563308639680613</v>
      </c>
      <c r="G41">
        <f t="shared" si="3"/>
        <v>0.12918281250000002</v>
      </c>
      <c r="H41">
        <f t="shared" si="4"/>
        <v>0.40181878170803981</v>
      </c>
      <c r="I41">
        <f t="shared" si="5"/>
        <v>-1.6052693877044444E-2</v>
      </c>
      <c r="J41">
        <f t="shared" si="6"/>
        <v>-0.41787147558508425</v>
      </c>
      <c r="K41">
        <f t="shared" si="7"/>
        <v>0.66197945559745297</v>
      </c>
      <c r="L41">
        <f t="shared" si="8"/>
        <v>0.50640382326826461</v>
      </c>
      <c r="M41">
        <f t="shared" si="9"/>
        <v>0.92533722831185583</v>
      </c>
      <c r="N41">
        <f t="shared" si="10"/>
        <v>0.1933851453678701</v>
      </c>
      <c r="O41">
        <f t="shared" si="11"/>
        <v>1933.8514536787011</v>
      </c>
      <c r="P41">
        <f t="shared" si="12"/>
        <v>0.89961505767326599</v>
      </c>
      <c r="Q41">
        <f t="shared" si="13"/>
        <v>0.89614431545415552</v>
      </c>
      <c r="R41" s="4">
        <f t="shared" si="14"/>
        <v>3.4707422191104786E-3</v>
      </c>
      <c r="S41">
        <f t="shared" si="15"/>
        <v>6.7118998857708396</v>
      </c>
    </row>
    <row r="42" spans="3:19" x14ac:dyDescent="0.35">
      <c r="C42">
        <f t="shared" si="16"/>
        <v>32</v>
      </c>
      <c r="D42">
        <f t="shared" si="0"/>
        <v>2.6666666666666665</v>
      </c>
      <c r="E42">
        <f t="shared" si="1"/>
        <v>2.583333333333333</v>
      </c>
      <c r="F42">
        <f t="shared" si="2"/>
        <v>-0.14000834724831593</v>
      </c>
      <c r="G42">
        <f t="shared" si="3"/>
        <v>0.13335</v>
      </c>
      <c r="H42">
        <f t="shared" si="4"/>
        <v>0.40824829046386302</v>
      </c>
      <c r="I42">
        <f t="shared" si="5"/>
        <v>-1.6309553288638475E-2</v>
      </c>
      <c r="J42">
        <f t="shared" si="6"/>
        <v>-0.4245578437525015</v>
      </c>
      <c r="K42">
        <f t="shared" si="7"/>
        <v>0.66442048513426999</v>
      </c>
      <c r="L42">
        <f t="shared" si="8"/>
        <v>0.50650628193319625</v>
      </c>
      <c r="M42">
        <f t="shared" si="9"/>
        <v>0.92302388524107626</v>
      </c>
      <c r="N42">
        <f t="shared" si="10"/>
        <v>0.19690308888527924</v>
      </c>
      <c r="O42">
        <f t="shared" si="11"/>
        <v>1969.0308888527925</v>
      </c>
      <c r="P42">
        <f t="shared" si="12"/>
        <v>0.89614431545415552</v>
      </c>
      <c r="Q42">
        <f t="shared" si="13"/>
        <v>0.89266614962951896</v>
      </c>
      <c r="R42" s="4">
        <f t="shared" si="14"/>
        <v>3.4781658246365588E-3</v>
      </c>
      <c r="S42">
        <f t="shared" si="15"/>
        <v>6.8486159452615292</v>
      </c>
    </row>
    <row r="43" spans="3:19" x14ac:dyDescent="0.35">
      <c r="C43">
        <f t="shared" si="16"/>
        <v>33</v>
      </c>
      <c r="D43">
        <f t="shared" si="0"/>
        <v>2.75</v>
      </c>
      <c r="E43">
        <f t="shared" si="1"/>
        <v>2.6666666666666665</v>
      </c>
      <c r="F43">
        <f t="shared" si="2"/>
        <v>-0.14438360809982589</v>
      </c>
      <c r="G43">
        <f t="shared" si="3"/>
        <v>0.1375171875</v>
      </c>
      <c r="H43">
        <f t="shared" si="4"/>
        <v>0.41457809879442498</v>
      </c>
      <c r="I43">
        <f t="shared" si="5"/>
        <v>-1.6562429659919678E-2</v>
      </c>
      <c r="J43">
        <f t="shared" si="6"/>
        <v>-0.43114052845434464</v>
      </c>
      <c r="K43">
        <f t="shared" si="7"/>
        <v>0.66681690332081289</v>
      </c>
      <c r="L43">
        <f t="shared" si="8"/>
        <v>0.50660715138369761</v>
      </c>
      <c r="M43">
        <f t="shared" si="9"/>
        <v>0.92071632552797367</v>
      </c>
      <c r="N43">
        <f t="shared" si="10"/>
        <v>0.2003754284126209</v>
      </c>
      <c r="O43">
        <f t="shared" si="11"/>
        <v>2003.7542841262091</v>
      </c>
      <c r="P43">
        <f t="shared" si="12"/>
        <v>0.89266614962951896</v>
      </c>
      <c r="Q43">
        <f t="shared" si="13"/>
        <v>0.88918062556569744</v>
      </c>
      <c r="R43" s="4">
        <f t="shared" si="14"/>
        <v>3.4855240638215212E-3</v>
      </c>
      <c r="S43">
        <f t="shared" si="15"/>
        <v>6.9841337753073676</v>
      </c>
    </row>
    <row r="44" spans="3:19" x14ac:dyDescent="0.35">
      <c r="C44">
        <f t="shared" si="16"/>
        <v>34</v>
      </c>
      <c r="D44">
        <f t="shared" si="0"/>
        <v>2.8333333333333335</v>
      </c>
      <c r="E44">
        <f t="shared" si="1"/>
        <v>2.75</v>
      </c>
      <c r="F44">
        <f t="shared" si="2"/>
        <v>-0.14875886895133569</v>
      </c>
      <c r="G44">
        <f t="shared" si="3"/>
        <v>0.141684375</v>
      </c>
      <c r="H44">
        <f t="shared" si="4"/>
        <v>0.42081270576508661</v>
      </c>
      <c r="I44">
        <f t="shared" si="5"/>
        <v>-1.6811502728924111E-2</v>
      </c>
      <c r="J44">
        <f t="shared" si="6"/>
        <v>-0.43762420849401074</v>
      </c>
      <c r="K44">
        <f t="shared" si="7"/>
        <v>0.66917064032867557</v>
      </c>
      <c r="L44">
        <f t="shared" si="8"/>
        <v>0.50670650332809819</v>
      </c>
      <c r="M44">
        <f t="shared" si="9"/>
        <v>0.91841453471415369</v>
      </c>
      <c r="N44">
        <f t="shared" si="10"/>
        <v>0.2038040228379645</v>
      </c>
      <c r="O44">
        <f t="shared" si="11"/>
        <v>2038.040228379645</v>
      </c>
      <c r="P44">
        <f t="shared" si="12"/>
        <v>0.88918062556569744</v>
      </c>
      <c r="Q44">
        <f t="shared" si="13"/>
        <v>0.88568780960610194</v>
      </c>
      <c r="R44" s="4">
        <f t="shared" si="14"/>
        <v>3.4928159595954966E-3</v>
      </c>
      <c r="S44">
        <f t="shared" si="15"/>
        <v>7.1184994359820744</v>
      </c>
    </row>
    <row r="45" spans="3:19" x14ac:dyDescent="0.35">
      <c r="C45">
        <f t="shared" si="16"/>
        <v>35</v>
      </c>
      <c r="D45">
        <f t="shared" si="0"/>
        <v>2.9166666666666665</v>
      </c>
      <c r="E45">
        <f t="shared" si="1"/>
        <v>2.833333333333333</v>
      </c>
      <c r="F45">
        <f t="shared" si="2"/>
        <v>-0.1531341298028456</v>
      </c>
      <c r="G45">
        <f t="shared" si="3"/>
        <v>0.1458515625</v>
      </c>
      <c r="H45">
        <f t="shared" si="4"/>
        <v>0.42695628191498325</v>
      </c>
      <c r="I45">
        <f t="shared" si="5"/>
        <v>-1.7056939109039097E-2</v>
      </c>
      <c r="J45">
        <f t="shared" si="6"/>
        <v>-0.44401322102402235</v>
      </c>
      <c r="K45">
        <f t="shared" si="7"/>
        <v>0.67148348736671948</v>
      </c>
      <c r="L45">
        <f t="shared" si="8"/>
        <v>0.5068044042386064</v>
      </c>
      <c r="M45">
        <f t="shared" si="9"/>
        <v>0.91611849837736836</v>
      </c>
      <c r="N45">
        <f t="shared" si="10"/>
        <v>0.20719059758461061</v>
      </c>
      <c r="O45">
        <f t="shared" si="11"/>
        <v>2071.9059758461062</v>
      </c>
      <c r="P45">
        <f t="shared" si="12"/>
        <v>0.88568780960610194</v>
      </c>
      <c r="Q45">
        <f t="shared" si="13"/>
        <v>0.88218776907469965</v>
      </c>
      <c r="R45" s="4">
        <f t="shared" si="14"/>
        <v>3.5000405314022931E-3</v>
      </c>
      <c r="S45">
        <f t="shared" si="15"/>
        <v>7.2517548927159927</v>
      </c>
    </row>
    <row r="46" spans="3:19" x14ac:dyDescent="0.35">
      <c r="C46">
        <f t="shared" si="16"/>
        <v>36</v>
      </c>
      <c r="D46">
        <f t="shared" si="0"/>
        <v>3</v>
      </c>
      <c r="E46">
        <f t="shared" si="1"/>
        <v>2.9166666666666665</v>
      </c>
      <c r="F46">
        <f t="shared" si="2"/>
        <v>-0.15750939065435532</v>
      </c>
      <c r="G46">
        <f t="shared" si="3"/>
        <v>0.15001875000000001</v>
      </c>
      <c r="H46">
        <f t="shared" si="4"/>
        <v>0.4330127018922193</v>
      </c>
      <c r="I46">
        <f t="shared" si="5"/>
        <v>-1.7298893592779179E-2</v>
      </c>
      <c r="J46">
        <f t="shared" si="6"/>
        <v>-0.45031159548499849</v>
      </c>
      <c r="K46">
        <f t="shared" si="7"/>
        <v>0.67375711040841046</v>
      </c>
      <c r="L46">
        <f t="shared" si="8"/>
        <v>0.5069009158714517</v>
      </c>
      <c r="M46">
        <f t="shared" si="9"/>
        <v>0.91382820213142502</v>
      </c>
      <c r="N46">
        <f t="shared" si="10"/>
        <v>0.21053675779882902</v>
      </c>
      <c r="O46">
        <f t="shared" si="11"/>
        <v>2105.3675779882901</v>
      </c>
      <c r="P46">
        <f t="shared" si="12"/>
        <v>0.88218776907469965</v>
      </c>
      <c r="Q46">
        <f t="shared" si="13"/>
        <v>0.87868057227939733</v>
      </c>
      <c r="R46" s="4">
        <f t="shared" si="14"/>
        <v>3.5071967953023142E-3</v>
      </c>
      <c r="S46">
        <f t="shared" si="15"/>
        <v>7.3839384224539266</v>
      </c>
    </row>
    <row r="47" spans="3:19" x14ac:dyDescent="0.35">
      <c r="C47">
        <f t="shared" si="16"/>
        <v>37</v>
      </c>
      <c r="D47">
        <f t="shared" si="0"/>
        <v>3.0833333333333335</v>
      </c>
      <c r="E47">
        <f t="shared" si="1"/>
        <v>3</v>
      </c>
      <c r="F47">
        <f t="shared" si="2"/>
        <v>-0.16188465150586526</v>
      </c>
      <c r="G47">
        <f t="shared" si="3"/>
        <v>0.15418593750000001</v>
      </c>
      <c r="H47">
        <f t="shared" si="4"/>
        <v>0.43898557303553082</v>
      </c>
      <c r="I47">
        <f t="shared" si="5"/>
        <v>-1.7537510293629002E-2</v>
      </c>
      <c r="J47">
        <f t="shared" si="6"/>
        <v>-0.45652308332915981</v>
      </c>
      <c r="K47">
        <f t="shared" si="7"/>
        <v>0.67599306221919908</v>
      </c>
      <c r="L47">
        <f t="shared" si="8"/>
        <v>0.50699609572242332</v>
      </c>
      <c r="M47">
        <f t="shared" si="9"/>
        <v>0.91154363162609653</v>
      </c>
      <c r="N47">
        <f t="shared" si="10"/>
        <v>0.21384399990412928</v>
      </c>
      <c r="O47">
        <f t="shared" si="11"/>
        <v>2138.4399990412926</v>
      </c>
      <c r="P47">
        <f t="shared" si="12"/>
        <v>0.87868057227939733</v>
      </c>
      <c r="Q47">
        <f t="shared" si="13"/>
        <v>0.87516628851532685</v>
      </c>
      <c r="R47" s="4">
        <f t="shared" si="14"/>
        <v>3.5142837640704805E-3</v>
      </c>
      <c r="S47">
        <f t="shared" si="15"/>
        <v>7.5150849690697088</v>
      </c>
    </row>
    <row r="48" spans="3:19" x14ac:dyDescent="0.35">
      <c r="C48">
        <f t="shared" si="16"/>
        <v>38</v>
      </c>
      <c r="D48">
        <f t="shared" si="0"/>
        <v>3.1666666666666665</v>
      </c>
      <c r="E48">
        <f t="shared" si="1"/>
        <v>3.083333333333333</v>
      </c>
      <c r="F48">
        <f t="shared" si="2"/>
        <v>-0.16625991235737517</v>
      </c>
      <c r="G48">
        <f t="shared" si="3"/>
        <v>0.15835312500000001</v>
      </c>
      <c r="H48">
        <f t="shared" si="4"/>
        <v>0.44487826050130463</v>
      </c>
      <c r="I48">
        <f t="shared" si="5"/>
        <v>-1.7772923649866611E-2</v>
      </c>
      <c r="J48">
        <f t="shared" si="6"/>
        <v>-0.46265118415117124</v>
      </c>
      <c r="K48">
        <f t="shared" si="7"/>
        <v>0.67819279293463219</v>
      </c>
      <c r="L48">
        <f t="shared" si="8"/>
        <v>0.50708999742734573</v>
      </c>
      <c r="M48">
        <f t="shared" si="9"/>
        <v>0.90926477254703131</v>
      </c>
      <c r="N48">
        <f t="shared" si="10"/>
        <v>0.21711372176298199</v>
      </c>
      <c r="O48">
        <f t="shared" si="11"/>
        <v>2171.13721762982</v>
      </c>
      <c r="P48">
        <f t="shared" si="12"/>
        <v>0.87516628851532685</v>
      </c>
      <c r="Q48">
        <f t="shared" si="13"/>
        <v>0.87164498806802315</v>
      </c>
      <c r="R48" s="4">
        <f t="shared" si="14"/>
        <v>3.5213004473036991E-3</v>
      </c>
      <c r="S48">
        <f t="shared" si="15"/>
        <v>7.6452264555975935</v>
      </c>
    </row>
    <row r="49" spans="3:19" x14ac:dyDescent="0.35">
      <c r="C49">
        <f t="shared" si="16"/>
        <v>39</v>
      </c>
      <c r="D49">
        <f t="shared" si="0"/>
        <v>3.25</v>
      </c>
      <c r="E49">
        <f t="shared" si="1"/>
        <v>3.1666666666666665</v>
      </c>
      <c r="F49">
        <f t="shared" si="2"/>
        <v>-0.17063517320888505</v>
      </c>
      <c r="G49">
        <f t="shared" si="3"/>
        <v>0.16252031250000001</v>
      </c>
      <c r="H49">
        <f t="shared" si="4"/>
        <v>0.45069390943299864</v>
      </c>
      <c r="I49">
        <f t="shared" si="5"/>
        <v>-1.8005259310235725E-2</v>
      </c>
      <c r="J49">
        <f t="shared" si="6"/>
        <v>-0.46869916874323436</v>
      </c>
      <c r="K49">
        <f t="shared" si="7"/>
        <v>0.68035765939731307</v>
      </c>
      <c r="L49">
        <f t="shared" si="8"/>
        <v>0.50718267111541904</v>
      </c>
      <c r="M49">
        <f t="shared" si="9"/>
        <v>0.9069916106156638</v>
      </c>
      <c r="N49">
        <f t="shared" si="10"/>
        <v>0.22034723164598463</v>
      </c>
      <c r="O49">
        <f t="shared" si="11"/>
        <v>2203.4723164598463</v>
      </c>
      <c r="P49">
        <f t="shared" si="12"/>
        <v>0.87164498806802315</v>
      </c>
      <c r="Q49">
        <f t="shared" si="13"/>
        <v>0.86811674221649893</v>
      </c>
      <c r="R49" s="4">
        <f t="shared" si="14"/>
        <v>3.5282458515242254E-3</v>
      </c>
      <c r="S49">
        <f t="shared" si="15"/>
        <v>7.7743920594979281</v>
      </c>
    </row>
    <row r="50" spans="3:19" x14ac:dyDescent="0.35">
      <c r="C50">
        <f t="shared" si="16"/>
        <v>40</v>
      </c>
      <c r="D50">
        <f t="shared" si="0"/>
        <v>3.3333333333333335</v>
      </c>
      <c r="E50">
        <f t="shared" si="1"/>
        <v>3.25</v>
      </c>
      <c r="F50">
        <f t="shared" si="2"/>
        <v>-0.17501043406039501</v>
      </c>
      <c r="G50">
        <f t="shared" si="3"/>
        <v>0.16668750000000002</v>
      </c>
      <c r="H50">
        <f t="shared" si="4"/>
        <v>0.45643546458763845</v>
      </c>
      <c r="I50">
        <f t="shared" si="5"/>
        <v>-1.823463491802562E-2</v>
      </c>
      <c r="J50">
        <f t="shared" si="6"/>
        <v>-0.47467009950566408</v>
      </c>
      <c r="K50">
        <f t="shared" si="7"/>
        <v>0.68248893342637917</v>
      </c>
      <c r="L50">
        <f t="shared" si="8"/>
        <v>0.50727416372202838</v>
      </c>
      <c r="M50">
        <f t="shared" si="9"/>
        <v>0.90472413158912457</v>
      </c>
      <c r="N50">
        <f t="shared" si="10"/>
        <v>0.22354575617536765</v>
      </c>
      <c r="O50">
        <f t="shared" si="11"/>
        <v>2235.4575617536766</v>
      </c>
      <c r="P50">
        <f t="shared" si="12"/>
        <v>0.86811674221649893</v>
      </c>
      <c r="Q50">
        <f t="shared" si="13"/>
        <v>0.86458162323620924</v>
      </c>
      <c r="R50" s="4">
        <f t="shared" si="14"/>
        <v>3.5351189802896865E-3</v>
      </c>
      <c r="S50">
        <f t="shared" si="15"/>
        <v>7.9026084561875258</v>
      </c>
    </row>
    <row r="51" spans="3:19" x14ac:dyDescent="0.35">
      <c r="C51">
        <f t="shared" si="16"/>
        <v>41</v>
      </c>
      <c r="D51">
        <f t="shared" si="0"/>
        <v>3.4166666666666665</v>
      </c>
      <c r="E51">
        <f t="shared" si="1"/>
        <v>3.333333333333333</v>
      </c>
      <c r="F51">
        <f t="shared" si="2"/>
        <v>-0.17938569491190473</v>
      </c>
      <c r="G51">
        <f t="shared" si="3"/>
        <v>0.17085468749999999</v>
      </c>
      <c r="H51">
        <f t="shared" si="4"/>
        <v>0.46210568776705901</v>
      </c>
      <c r="I51">
        <f t="shared" si="5"/>
        <v>-1.8461160807449532E-2</v>
      </c>
      <c r="J51">
        <f t="shared" si="6"/>
        <v>-0.48056684857450854</v>
      </c>
      <c r="K51">
        <f t="shared" si="7"/>
        <v>0.68458780916514739</v>
      </c>
      <c r="L51">
        <f t="shared" si="8"/>
        <v>0.50736451926656467</v>
      </c>
      <c r="M51">
        <f t="shared" si="9"/>
        <v>0.90246232126015191</v>
      </c>
      <c r="N51">
        <f t="shared" si="10"/>
        <v>0.22671044738280238</v>
      </c>
      <c r="O51">
        <f t="shared" si="11"/>
        <v>2267.1044738280239</v>
      </c>
      <c r="P51">
        <f t="shared" si="12"/>
        <v>0.86458162323620935</v>
      </c>
      <c r="Q51">
        <f t="shared" si="13"/>
        <v>0.8610397044019058</v>
      </c>
      <c r="R51" s="4">
        <f t="shared" si="14"/>
        <v>3.5419188343035479E-3</v>
      </c>
      <c r="S51">
        <f t="shared" si="15"/>
        <v>8.029900035185312</v>
      </c>
    </row>
    <row r="52" spans="3:19" x14ac:dyDescent="0.35">
      <c r="C52">
        <f t="shared" si="16"/>
        <v>42</v>
      </c>
      <c r="D52">
        <f t="shared" si="0"/>
        <v>3.5</v>
      </c>
      <c r="E52">
        <f t="shared" si="1"/>
        <v>3.4166666666666665</v>
      </c>
      <c r="F52">
        <f t="shared" si="2"/>
        <v>-0.18376095576341461</v>
      </c>
      <c r="G52">
        <f t="shared" si="3"/>
        <v>0.17502187499999999</v>
      </c>
      <c r="H52">
        <f t="shared" si="4"/>
        <v>0.46770717334674267</v>
      </c>
      <c r="I52">
        <f t="shared" si="5"/>
        <v>-1.8684940624025353E-2</v>
      </c>
      <c r="J52">
        <f t="shared" si="6"/>
        <v>-0.48639211397076804</v>
      </c>
      <c r="K52">
        <f t="shared" si="7"/>
        <v>0.68665540962963889</v>
      </c>
      <c r="L52">
        <f t="shared" si="8"/>
        <v>0.50745377909992695</v>
      </c>
      <c r="M52">
        <f t="shared" si="9"/>
        <v>0.90020616545700149</v>
      </c>
      <c r="N52">
        <f t="shared" si="10"/>
        <v>0.22984238899942938</v>
      </c>
      <c r="O52">
        <f t="shared" si="11"/>
        <v>2298.4238899942939</v>
      </c>
      <c r="P52">
        <f t="shared" si="12"/>
        <v>0.8610397044019058</v>
      </c>
      <c r="Q52">
        <f t="shared" si="13"/>
        <v>0.85749105999037667</v>
      </c>
      <c r="R52" s="4">
        <f t="shared" si="14"/>
        <v>3.5486444115291338E-3</v>
      </c>
      <c r="S52">
        <f t="shared" si="15"/>
        <v>8.1562890925533029</v>
      </c>
    </row>
    <row r="53" spans="3:19" x14ac:dyDescent="0.35">
      <c r="C53">
        <f t="shared" si="16"/>
        <v>43</v>
      </c>
      <c r="D53">
        <f t="shared" si="0"/>
        <v>3.5833333333333335</v>
      </c>
      <c r="E53">
        <f t="shared" si="1"/>
        <v>3.5</v>
      </c>
      <c r="F53">
        <f t="shared" si="2"/>
        <v>-0.18813621661492455</v>
      </c>
      <c r="G53">
        <f t="shared" si="3"/>
        <v>0.17918906250000002</v>
      </c>
      <c r="H53">
        <f t="shared" si="4"/>
        <v>0.4732423621500228</v>
      </c>
      <c r="I53">
        <f t="shared" si="5"/>
        <v>-1.8906071878848803E-2</v>
      </c>
      <c r="J53">
        <f t="shared" si="6"/>
        <v>-0.4921484340288716</v>
      </c>
      <c r="K53">
        <f t="shared" si="7"/>
        <v>0.68869279256183547</v>
      </c>
      <c r="L53">
        <f t="shared" si="8"/>
        <v>0.5075419821256506</v>
      </c>
      <c r="M53">
        <f t="shared" si="9"/>
        <v>0.89795565004335898</v>
      </c>
      <c r="N53">
        <f t="shared" si="10"/>
        <v>0.23294260207790202</v>
      </c>
      <c r="O53">
        <f t="shared" si="11"/>
        <v>2329.4260207790203</v>
      </c>
      <c r="P53">
        <f t="shared" si="12"/>
        <v>0.85749105999037667</v>
      </c>
      <c r="Q53">
        <f t="shared" si="13"/>
        <v>0.85393576528307258</v>
      </c>
      <c r="R53" s="4">
        <f t="shared" si="14"/>
        <v>3.5552947073040908E-3</v>
      </c>
      <c r="S53">
        <f t="shared" si="15"/>
        <v>8.2817960027320794</v>
      </c>
    </row>
    <row r="54" spans="3:19" x14ac:dyDescent="0.35">
      <c r="C54">
        <f t="shared" si="16"/>
        <v>44</v>
      </c>
      <c r="D54">
        <f t="shared" si="0"/>
        <v>3.6666666666666665</v>
      </c>
      <c r="E54">
        <f t="shared" si="1"/>
        <v>3.583333333333333</v>
      </c>
      <c r="F54">
        <f t="shared" si="2"/>
        <v>-0.19251147746643441</v>
      </c>
      <c r="G54">
        <f t="shared" si="3"/>
        <v>0.18335625</v>
      </c>
      <c r="H54">
        <f t="shared" si="4"/>
        <v>0.47871355387816905</v>
      </c>
      <c r="I54">
        <f t="shared" si="5"/>
        <v>-1.9124646445177487E-2</v>
      </c>
      <c r="J54">
        <f t="shared" si="6"/>
        <v>-0.49783820032334652</v>
      </c>
      <c r="K54">
        <f t="shared" si="7"/>
        <v>0.6907009556759296</v>
      </c>
      <c r="L54">
        <f t="shared" si="8"/>
        <v>0.50762916499802024</v>
      </c>
      <c r="M54">
        <f t="shared" si="9"/>
        <v>0.89571076091825075</v>
      </c>
      <c r="N54">
        <f t="shared" si="10"/>
        <v>0.23601205003125664</v>
      </c>
      <c r="O54">
        <f t="shared" si="11"/>
        <v>2360.1205003125665</v>
      </c>
      <c r="P54">
        <f t="shared" si="12"/>
        <v>0.85393576528307258</v>
      </c>
      <c r="Q54">
        <f t="shared" si="13"/>
        <v>0.85037389656861262</v>
      </c>
      <c r="R54" s="4">
        <f t="shared" si="14"/>
        <v>3.5618687144599592E-3</v>
      </c>
      <c r="S54">
        <f t="shared" si="15"/>
        <v>8.4064393724189177</v>
      </c>
    </row>
    <row r="55" spans="3:19" x14ac:dyDescent="0.35">
      <c r="C55">
        <f t="shared" si="16"/>
        <v>45</v>
      </c>
      <c r="D55">
        <f t="shared" si="0"/>
        <v>3.75</v>
      </c>
      <c r="E55">
        <f t="shared" si="1"/>
        <v>3.6666666666666665</v>
      </c>
      <c r="F55">
        <f t="shared" si="2"/>
        <v>-0.19688673831794429</v>
      </c>
      <c r="G55">
        <f t="shared" si="3"/>
        <v>0.1875234375</v>
      </c>
      <c r="H55">
        <f t="shared" si="4"/>
        <v>0.48412291827592713</v>
      </c>
      <c r="I55">
        <f t="shared" si="5"/>
        <v>-1.9340751004495203E-2</v>
      </c>
      <c r="J55">
        <f t="shared" si="6"/>
        <v>-0.5034636692804223</v>
      </c>
      <c r="K55">
        <f t="shared" si="7"/>
        <v>0.69268084137287245</v>
      </c>
      <c r="L55">
        <f t="shared" si="8"/>
        <v>0.50771536230002878</v>
      </c>
      <c r="M55">
        <f t="shared" si="9"/>
        <v>0.89347148401595511</v>
      </c>
      <c r="N55">
        <f t="shared" si="10"/>
        <v>0.23905164316096744</v>
      </c>
      <c r="O55">
        <f t="shared" si="11"/>
        <v>2390.5164316096743</v>
      </c>
      <c r="P55">
        <f t="shared" si="12"/>
        <v>0.85037389656861262</v>
      </c>
      <c r="Q55">
        <f t="shared" si="13"/>
        <v>0.84680553114517165</v>
      </c>
      <c r="R55" s="4">
        <f t="shared" si="14"/>
        <v>3.5683654234409667E-3</v>
      </c>
      <c r="S55">
        <f t="shared" si="15"/>
        <v>8.5302361787234435</v>
      </c>
    </row>
    <row r="56" spans="3:19" x14ac:dyDescent="0.35">
      <c r="C56">
        <f t="shared" si="16"/>
        <v>46</v>
      </c>
      <c r="D56">
        <f t="shared" si="0"/>
        <v>3.8333333333333335</v>
      </c>
      <c r="E56">
        <f t="shared" si="1"/>
        <v>3.75</v>
      </c>
      <c r="F56">
        <f t="shared" si="2"/>
        <v>-0.20126199916945417</v>
      </c>
      <c r="G56">
        <f t="shared" si="3"/>
        <v>0.191690625</v>
      </c>
      <c r="H56">
        <f t="shared" si="4"/>
        <v>0.48947250518628044</v>
      </c>
      <c r="I56">
        <f t="shared" si="5"/>
        <v>-1.9554467448200285E-2</v>
      </c>
      <c r="J56">
        <f t="shared" si="6"/>
        <v>-0.50902697263448071</v>
      </c>
      <c r="K56">
        <f t="shared" si="7"/>
        <v>0.69463334098772256</v>
      </c>
      <c r="L56">
        <f t="shared" si="8"/>
        <v>0.50780060670363147</v>
      </c>
      <c r="M56">
        <f t="shared" si="9"/>
        <v>0.89123780530591523</v>
      </c>
      <c r="N56">
        <f t="shared" si="10"/>
        <v>0.24206224273616583</v>
      </c>
      <c r="O56">
        <f t="shared" si="11"/>
        <v>2420.6224273616585</v>
      </c>
      <c r="P56">
        <f t="shared" si="12"/>
        <v>0.84680553114517165</v>
      </c>
      <c r="Q56">
        <f t="shared" si="13"/>
        <v>0.84323074732274239</v>
      </c>
      <c r="R56" s="4">
        <f t="shared" si="14"/>
        <v>3.5747838224292616E-3</v>
      </c>
      <c r="S56">
        <f t="shared" si="15"/>
        <v>8.6532018935419082</v>
      </c>
    </row>
    <row r="57" spans="3:19" x14ac:dyDescent="0.35">
      <c r="C57">
        <f t="shared" si="16"/>
        <v>47</v>
      </c>
      <c r="D57">
        <f t="shared" si="0"/>
        <v>3.9166666666666665</v>
      </c>
      <c r="E57">
        <f t="shared" si="1"/>
        <v>3.833333333333333</v>
      </c>
      <c r="F57">
        <f t="shared" si="2"/>
        <v>-0.20563726002096408</v>
      </c>
      <c r="G57">
        <f t="shared" si="3"/>
        <v>0.19585781250000001</v>
      </c>
      <c r="H57">
        <f t="shared" si="4"/>
        <v>0.49476425362657989</v>
      </c>
      <c r="I57">
        <f t="shared" si="5"/>
        <v>-1.9765873240197844E-2</v>
      </c>
      <c r="J57">
        <f t="shared" si="6"/>
        <v>-0.51453012686677768</v>
      </c>
      <c r="K57">
        <f t="shared" si="7"/>
        <v>0.69655929862524335</v>
      </c>
      <c r="L57">
        <f t="shared" si="8"/>
        <v>0.50788492911440319</v>
      </c>
      <c r="M57">
        <f t="shared" si="9"/>
        <v>0.88900971079265056</v>
      </c>
      <c r="N57">
        <f t="shared" si="10"/>
        <v>0.24504466467730196</v>
      </c>
      <c r="O57">
        <f t="shared" si="11"/>
        <v>2450.4466467730194</v>
      </c>
      <c r="P57">
        <f t="shared" si="12"/>
        <v>0.84323074732274239</v>
      </c>
      <c r="Q57">
        <f t="shared" si="13"/>
        <v>0.83964962442527447</v>
      </c>
      <c r="R57" s="4">
        <f t="shared" si="14"/>
        <v>3.5811228974679254E-3</v>
      </c>
      <c r="S57">
        <f t="shared" si="15"/>
        <v>8.7753505957823581</v>
      </c>
    </row>
    <row r="58" spans="3:19" x14ac:dyDescent="0.35">
      <c r="C58">
        <f t="shared" si="16"/>
        <v>48</v>
      </c>
      <c r="D58">
        <f t="shared" si="0"/>
        <v>4</v>
      </c>
      <c r="E58">
        <f t="shared" si="1"/>
        <v>3.9166666666666665</v>
      </c>
      <c r="F58">
        <f t="shared" si="2"/>
        <v>-0.21001252087247396</v>
      </c>
      <c r="G58">
        <f t="shared" si="3"/>
        <v>0.20002500000000001</v>
      </c>
      <c r="H58">
        <f t="shared" si="4"/>
        <v>0.5</v>
      </c>
      <c r="I58">
        <f t="shared" si="5"/>
        <v>-1.9975041744947908E-2</v>
      </c>
      <c r="J58">
        <f t="shared" si="6"/>
        <v>-0.51997504174494791</v>
      </c>
      <c r="K58">
        <f t="shared" si="7"/>
        <v>0.69845951463157618</v>
      </c>
      <c r="L58">
        <f t="shared" si="8"/>
        <v>0.50796835880241464</v>
      </c>
      <c r="M58">
        <f t="shared" si="9"/>
        <v>0.8867871865156689</v>
      </c>
      <c r="N58">
        <f t="shared" si="10"/>
        <v>0.24799968289020108</v>
      </c>
      <c r="O58">
        <f t="shared" si="11"/>
        <v>2479.9968289020107</v>
      </c>
      <c r="P58">
        <f t="shared" si="12"/>
        <v>0.83964962442527447</v>
      </c>
      <c r="Q58">
        <f t="shared" si="13"/>
        <v>0.83606224279268349</v>
      </c>
      <c r="R58" s="4">
        <f t="shared" si="14"/>
        <v>3.5873816325909802E-3</v>
      </c>
      <c r="S58">
        <f t="shared" si="15"/>
        <v>8.8966950728869492</v>
      </c>
    </row>
    <row r="59" spans="3:19" x14ac:dyDescent="0.35">
      <c r="C59">
        <f t="shared" si="16"/>
        <v>49</v>
      </c>
      <c r="D59">
        <f t="shared" si="0"/>
        <v>4.083333333333333</v>
      </c>
      <c r="E59">
        <f t="shared" si="1"/>
        <v>3.9999999999999996</v>
      </c>
      <c r="F59">
        <f t="shared" si="2"/>
        <v>-0.21438778172398376</v>
      </c>
      <c r="G59">
        <f t="shared" si="3"/>
        <v>0.20419218749999998</v>
      </c>
      <c r="H59">
        <f t="shared" si="4"/>
        <v>0.50518148554092257</v>
      </c>
      <c r="I59">
        <f t="shared" si="5"/>
        <v>-2.0182042524909353E-2</v>
      </c>
      <c r="J59">
        <f t="shared" si="6"/>
        <v>-0.52536352806583198</v>
      </c>
      <c r="K59">
        <f t="shared" si="7"/>
        <v>0.70033474874338386</v>
      </c>
      <c r="L59">
        <f t="shared" si="8"/>
        <v>0.50805092352089787</v>
      </c>
      <c r="M59">
        <f t="shared" si="9"/>
        <v>0.88457021854937978</v>
      </c>
      <c r="N59">
        <f t="shared" si="10"/>
        <v>0.25092803229028898</v>
      </c>
      <c r="O59">
        <f t="shared" si="11"/>
        <v>2509.28032290289</v>
      </c>
      <c r="P59">
        <f t="shared" si="12"/>
        <v>0.8360622427926836</v>
      </c>
      <c r="Q59">
        <f t="shared" si="13"/>
        <v>0.83246868378273142</v>
      </c>
      <c r="R59" s="4">
        <f t="shared" si="14"/>
        <v>3.5935590099521741E-3</v>
      </c>
      <c r="S59">
        <f t="shared" si="15"/>
        <v>9.0172469128633814</v>
      </c>
    </row>
    <row r="60" spans="3:19" x14ac:dyDescent="0.35">
      <c r="C60">
        <f t="shared" si="16"/>
        <v>50</v>
      </c>
      <c r="D60">
        <f t="shared" si="0"/>
        <v>4.166666666666667</v>
      </c>
      <c r="E60">
        <f t="shared" si="1"/>
        <v>4.0833333333333339</v>
      </c>
      <c r="F60">
        <f t="shared" si="2"/>
        <v>-0.21876304257549367</v>
      </c>
      <c r="G60">
        <f t="shared" si="3"/>
        <v>0.20835937500000001</v>
      </c>
      <c r="H60">
        <f t="shared" si="4"/>
        <v>0.5103103630798288</v>
      </c>
      <c r="I60">
        <f t="shared" si="5"/>
        <v>-2.0386941610798119E-2</v>
      </c>
      <c r="J60">
        <f t="shared" si="6"/>
        <v>-0.53069730469062693</v>
      </c>
      <c r="K60">
        <f t="shared" si="7"/>
        <v>0.70218572295040071</v>
      </c>
      <c r="L60">
        <f t="shared" si="8"/>
        <v>0.50813264961406746</v>
      </c>
      <c r="M60">
        <f t="shared" si="9"/>
        <v>0.88235879300300635</v>
      </c>
      <c r="N60">
        <f t="shared" si="10"/>
        <v>0.25383041155151259</v>
      </c>
      <c r="O60">
        <f t="shared" si="11"/>
        <v>2538.3041155151259</v>
      </c>
      <c r="P60">
        <f t="shared" si="12"/>
        <v>0.83246868378273142</v>
      </c>
      <c r="Q60">
        <f t="shared" si="13"/>
        <v>0.82886902977277255</v>
      </c>
      <c r="R60" s="4">
        <f t="shared" si="14"/>
        <v>3.5996540099588747E-3</v>
      </c>
      <c r="S60">
        <f t="shared" si="15"/>
        <v>9.1370165879091374</v>
      </c>
    </row>
    <row r="61" spans="3:19" x14ac:dyDescent="0.35">
      <c r="C61">
        <f t="shared" si="16"/>
        <v>51</v>
      </c>
      <c r="D61">
        <f t="shared" si="0"/>
        <v>4.25</v>
      </c>
      <c r="E61">
        <f t="shared" si="1"/>
        <v>4.166666666666667</v>
      </c>
      <c r="F61">
        <f t="shared" si="2"/>
        <v>-0.22313830342700361</v>
      </c>
      <c r="G61">
        <f t="shared" si="3"/>
        <v>0.21252656250000002</v>
      </c>
      <c r="H61">
        <f t="shared" si="4"/>
        <v>0.51538820320220757</v>
      </c>
      <c r="I61">
        <f t="shared" si="5"/>
        <v>-2.0589801747635614E-2</v>
      </c>
      <c r="J61">
        <f t="shared" si="6"/>
        <v>-0.53597800494984316</v>
      </c>
      <c r="K61">
        <f t="shared" si="7"/>
        <v>0.70401312410268635</v>
      </c>
      <c r="L61">
        <f t="shared" si="8"/>
        <v>0.50821356211528212</v>
      </c>
      <c r="M61">
        <f t="shared" si="9"/>
        <v>0.88015289602049895</v>
      </c>
      <c r="N61">
        <f t="shared" si="10"/>
        <v>0.25670748561002704</v>
      </c>
      <c r="O61">
        <f t="shared" si="11"/>
        <v>2567.0748561002706</v>
      </c>
      <c r="P61">
        <f t="shared" si="12"/>
        <v>0.82886902977277255</v>
      </c>
      <c r="Q61">
        <f t="shared" si="13"/>
        <v>0.82526336416136536</v>
      </c>
      <c r="R61" s="4">
        <f t="shared" si="14"/>
        <v>3.6056656114071828E-3</v>
      </c>
      <c r="S61">
        <f t="shared" si="15"/>
        <v>9.2560135305487883</v>
      </c>
    </row>
    <row r="62" spans="3:19" x14ac:dyDescent="0.35">
      <c r="C62">
        <f t="shared" si="16"/>
        <v>52</v>
      </c>
      <c r="D62">
        <f t="shared" si="0"/>
        <v>4.333333333333333</v>
      </c>
      <c r="E62">
        <f t="shared" si="1"/>
        <v>4.25</v>
      </c>
      <c r="F62">
        <f t="shared" si="2"/>
        <v>-0.22751356427851341</v>
      </c>
      <c r="G62">
        <f t="shared" si="3"/>
        <v>0.21669374999999999</v>
      </c>
      <c r="H62">
        <f t="shared" si="4"/>
        <v>0.52041649986653316</v>
      </c>
      <c r="I62">
        <f t="shared" si="5"/>
        <v>-2.0790682619187293E-2</v>
      </c>
      <c r="J62">
        <f t="shared" si="6"/>
        <v>-0.54120718248572042</v>
      </c>
      <c r="K62">
        <f t="shared" si="7"/>
        <v>0.70581760628991375</v>
      </c>
      <c r="L62">
        <f t="shared" si="8"/>
        <v>0.50829368483658532</v>
      </c>
      <c r="M62">
        <f t="shared" si="9"/>
        <v>0.8779525137804477</v>
      </c>
      <c r="N62">
        <f t="shared" si="10"/>
        <v>0.25955988794890705</v>
      </c>
      <c r="O62">
        <f t="shared" si="11"/>
        <v>2595.5988794890704</v>
      </c>
      <c r="P62">
        <f t="shared" si="12"/>
        <v>0.82526336416136536</v>
      </c>
      <c r="Q62">
        <f t="shared" si="13"/>
        <v>0.82165177136974565</v>
      </c>
      <c r="R62" s="4">
        <f t="shared" si="14"/>
        <v>3.611592791619711E-3</v>
      </c>
      <c r="S62">
        <f t="shared" si="15"/>
        <v>9.3742462030989255</v>
      </c>
    </row>
    <row r="63" spans="3:19" x14ac:dyDescent="0.35">
      <c r="C63">
        <f t="shared" si="16"/>
        <v>53</v>
      </c>
      <c r="D63">
        <f t="shared" si="0"/>
        <v>4.416666666666667</v>
      </c>
      <c r="E63">
        <f t="shared" si="1"/>
        <v>4.3333333333333339</v>
      </c>
      <c r="F63">
        <f t="shared" si="2"/>
        <v>-0.23188882513002329</v>
      </c>
      <c r="G63">
        <f t="shared" si="3"/>
        <v>0.22086093750000002</v>
      </c>
      <c r="H63">
        <f t="shared" si="4"/>
        <v>0.52539667553827052</v>
      </c>
      <c r="I63">
        <f t="shared" si="5"/>
        <v>-2.0989641053067502E-2</v>
      </c>
      <c r="J63">
        <f t="shared" si="6"/>
        <v>-0.54638631659133807</v>
      </c>
      <c r="K63">
        <f t="shared" si="7"/>
        <v>0.70759979301662979</v>
      </c>
      <c r="L63">
        <f t="shared" si="8"/>
        <v>0.50837304045053266</v>
      </c>
      <c r="M63">
        <f t="shared" si="9"/>
        <v>0.8757576324959967</v>
      </c>
      <c r="N63">
        <f t="shared" si="10"/>
        <v>0.26238822268687972</v>
      </c>
      <c r="O63">
        <f t="shared" si="11"/>
        <v>2623.8822268687973</v>
      </c>
      <c r="P63">
        <f t="shared" si="12"/>
        <v>0.82165177136974565</v>
      </c>
      <c r="Q63">
        <f t="shared" si="13"/>
        <v>0.81803433684315996</v>
      </c>
      <c r="R63" s="4">
        <f t="shared" si="14"/>
        <v>3.6174345265856944E-3</v>
      </c>
      <c r="S63">
        <f t="shared" si="15"/>
        <v>9.4917221611697453</v>
      </c>
    </row>
    <row r="64" spans="3:19" x14ac:dyDescent="0.35">
      <c r="C64">
        <f t="shared" si="16"/>
        <v>54</v>
      </c>
      <c r="D64">
        <f t="shared" si="0"/>
        <v>4.5</v>
      </c>
      <c r="E64">
        <f t="shared" si="1"/>
        <v>4.416666666666667</v>
      </c>
      <c r="F64">
        <f t="shared" si="2"/>
        <v>-0.2362640859815332</v>
      </c>
      <c r="G64">
        <f t="shared" si="3"/>
        <v>0.22502812500000002</v>
      </c>
      <c r="H64">
        <f t="shared" si="4"/>
        <v>0.5303300858899106</v>
      </c>
      <c r="I64">
        <f t="shared" si="5"/>
        <v>-2.1186731208505512E-2</v>
      </c>
      <c r="J64">
        <f t="shared" si="6"/>
        <v>-0.55151681709841616</v>
      </c>
      <c r="K64">
        <f t="shared" si="7"/>
        <v>0.70936027919450584</v>
      </c>
      <c r="L64">
        <f t="shared" si="8"/>
        <v>0.50845165056510244</v>
      </c>
      <c r="M64">
        <f t="shared" si="9"/>
        <v>0.87356823841475673</v>
      </c>
      <c r="N64">
        <f t="shared" si="10"/>
        <v>0.26519306649127383</v>
      </c>
      <c r="O64">
        <f t="shared" si="11"/>
        <v>2651.9306649127384</v>
      </c>
      <c r="P64">
        <f t="shared" si="12"/>
        <v>0.81803433684315996</v>
      </c>
      <c r="Q64">
        <f t="shared" si="13"/>
        <v>0.81441114705205531</v>
      </c>
      <c r="R64" s="4">
        <f t="shared" si="14"/>
        <v>3.6231897911046529E-3</v>
      </c>
      <c r="S64">
        <f t="shared" si="15"/>
        <v>9.6084481118292082</v>
      </c>
    </row>
    <row r="65" spans="3:19" x14ac:dyDescent="0.35">
      <c r="C65">
        <f t="shared" si="16"/>
        <v>55</v>
      </c>
      <c r="D65">
        <f t="shared" si="0"/>
        <v>4.583333333333333</v>
      </c>
      <c r="E65">
        <f t="shared" si="1"/>
        <v>4.5</v>
      </c>
      <c r="F65">
        <f t="shared" si="2"/>
        <v>-0.24063934683304303</v>
      </c>
      <c r="G65">
        <f t="shared" si="3"/>
        <v>0.2291953125</v>
      </c>
      <c r="H65">
        <f t="shared" si="4"/>
        <v>0.53521802411104702</v>
      </c>
      <c r="I65">
        <f t="shared" si="5"/>
        <v>-2.1382004748533322E-2</v>
      </c>
      <c r="J65">
        <f t="shared" si="6"/>
        <v>-0.55660002885958038</v>
      </c>
      <c r="K65">
        <f t="shared" si="7"/>
        <v>0.71109963297008605</v>
      </c>
      <c r="L65">
        <f t="shared" si="8"/>
        <v>0.50852953579239024</v>
      </c>
      <c r="M65">
        <f t="shared" si="9"/>
        <v>0.87138431781871983</v>
      </c>
      <c r="N65">
        <f t="shared" si="10"/>
        <v>0.2679749703329638</v>
      </c>
      <c r="O65">
        <f t="shared" si="11"/>
        <v>2679.7497033296381</v>
      </c>
      <c r="P65">
        <f t="shared" si="12"/>
        <v>0.81441114705205531</v>
      </c>
      <c r="Q65">
        <f t="shared" si="13"/>
        <v>0.81078228949312381</v>
      </c>
      <c r="R65" s="4">
        <f t="shared" si="14"/>
        <v>3.6288575589314975E-3</v>
      </c>
      <c r="S65">
        <f t="shared" si="15"/>
        <v>9.7244299669721954</v>
      </c>
    </row>
    <row r="66" spans="3:19" x14ac:dyDescent="0.35">
      <c r="C66">
        <f t="shared" si="16"/>
        <v>56</v>
      </c>
      <c r="D66">
        <f t="shared" si="0"/>
        <v>4.666666666666667</v>
      </c>
      <c r="E66">
        <f t="shared" si="1"/>
        <v>4.5833333333333339</v>
      </c>
      <c r="F66">
        <f t="shared" si="2"/>
        <v>-0.24501460768455291</v>
      </c>
      <c r="G66">
        <f t="shared" si="3"/>
        <v>0.23336250000000003</v>
      </c>
      <c r="H66">
        <f t="shared" si="4"/>
        <v>0.54006172486732174</v>
      </c>
      <c r="I66">
        <f t="shared" si="5"/>
        <v>-2.1575510998146523E-2</v>
      </c>
      <c r="J66">
        <f t="shared" si="6"/>
        <v>-0.56163723586546821</v>
      </c>
      <c r="K66">
        <f t="shared" si="7"/>
        <v>0.71281839740436403</v>
      </c>
      <c r="L66">
        <f t="shared" si="8"/>
        <v>0.50860671581170824</v>
      </c>
      <c r="M66">
        <f t="shared" si="9"/>
        <v>0.86920585702417308</v>
      </c>
      <c r="N66">
        <f t="shared" si="10"/>
        <v>0.27073446109899812</v>
      </c>
      <c r="O66">
        <f t="shared" si="11"/>
        <v>2707.3446109899814</v>
      </c>
      <c r="P66">
        <f t="shared" si="12"/>
        <v>0.81078228949312381</v>
      </c>
      <c r="Q66">
        <f t="shared" si="13"/>
        <v>0.80714785269019917</v>
      </c>
      <c r="R66" s="4">
        <f t="shared" si="14"/>
        <v>3.6344368029246343E-3</v>
      </c>
      <c r="S66">
        <f t="shared" si="15"/>
        <v>9.8396728923816656</v>
      </c>
    </row>
    <row r="67" spans="3:19" x14ac:dyDescent="0.35">
      <c r="C67">
        <f t="shared" si="16"/>
        <v>57</v>
      </c>
      <c r="D67">
        <f t="shared" si="0"/>
        <v>4.75</v>
      </c>
      <c r="E67">
        <f t="shared" si="1"/>
        <v>4.666666666666667</v>
      </c>
      <c r="F67">
        <f t="shared" si="2"/>
        <v>-0.24938986853606282</v>
      </c>
      <c r="G67">
        <f t="shared" si="3"/>
        <v>0.2375296875</v>
      </c>
      <c r="H67">
        <f t="shared" si="4"/>
        <v>0.54486236794258425</v>
      </c>
      <c r="I67">
        <f t="shared" si="5"/>
        <v>-2.1767297089808565E-2</v>
      </c>
      <c r="J67">
        <f t="shared" si="6"/>
        <v>-0.56662966503239276</v>
      </c>
      <c r="K67">
        <f t="shared" si="7"/>
        <v>0.714517092018634</v>
      </c>
      <c r="L67">
        <f t="shared" si="8"/>
        <v>0.50868320942763479</v>
      </c>
      <c r="M67">
        <f t="shared" si="9"/>
        <v>0.86703284238161271</v>
      </c>
      <c r="N67">
        <f t="shared" si="10"/>
        <v>0.27347204307679063</v>
      </c>
      <c r="O67">
        <f t="shared" si="11"/>
        <v>2734.7204307679062</v>
      </c>
      <c r="P67">
        <f t="shared" si="12"/>
        <v>0.80714785269019917</v>
      </c>
      <c r="Q67">
        <f t="shared" si="13"/>
        <v>0.80350792619500278</v>
      </c>
      <c r="R67" s="4">
        <f t="shared" si="14"/>
        <v>3.6399264951963994E-3</v>
      </c>
      <c r="S67">
        <f t="shared" si="15"/>
        <v>9.9541813529070122</v>
      </c>
    </row>
    <row r="68" spans="3:19" x14ac:dyDescent="0.35">
      <c r="C68">
        <f t="shared" si="16"/>
        <v>58</v>
      </c>
      <c r="D68">
        <f t="shared" si="0"/>
        <v>4.833333333333333</v>
      </c>
      <c r="E68">
        <f t="shared" si="1"/>
        <v>4.75</v>
      </c>
      <c r="F68">
        <f t="shared" si="2"/>
        <v>-0.25376512938757256</v>
      </c>
      <c r="G68">
        <f t="shared" si="3"/>
        <v>0.24169687500000001</v>
      </c>
      <c r="H68">
        <f t="shared" si="4"/>
        <v>0.54962108159470491</v>
      </c>
      <c r="I68">
        <f t="shared" si="5"/>
        <v>-2.1957408097515056E-2</v>
      </c>
      <c r="J68">
        <f t="shared" si="6"/>
        <v>-0.57157848969221992</v>
      </c>
      <c r="K68">
        <f t="shared" si="7"/>
        <v>0.71619621421943025</v>
      </c>
      <c r="L68">
        <f t="shared" si="8"/>
        <v>0.50875903462350047</v>
      </c>
      <c r="M68">
        <f t="shared" si="9"/>
        <v>0.86486526027565858</v>
      </c>
      <c r="N68">
        <f t="shared" si="10"/>
        <v>0.27618819932218375</v>
      </c>
      <c r="O68">
        <f t="shared" si="11"/>
        <v>2761.8819932218375</v>
      </c>
      <c r="P68">
        <f t="shared" si="12"/>
        <v>0.80350792619500278</v>
      </c>
      <c r="Q68">
        <f t="shared" si="13"/>
        <v>0.79986260058773606</v>
      </c>
      <c r="R68" s="4">
        <f t="shared" si="14"/>
        <v>3.645325607266714E-3</v>
      </c>
      <c r="S68">
        <f t="shared" si="15"/>
        <v>10.067959154140397</v>
      </c>
    </row>
    <row r="69" spans="3:19" x14ac:dyDescent="0.35">
      <c r="C69">
        <f t="shared" si="16"/>
        <v>59</v>
      </c>
      <c r="D69">
        <f t="shared" si="0"/>
        <v>4.916666666666667</v>
      </c>
      <c r="E69">
        <f t="shared" si="1"/>
        <v>4.8333333333333339</v>
      </c>
      <c r="F69">
        <f t="shared" si="2"/>
        <v>-0.25814039023908258</v>
      </c>
      <c r="G69">
        <f t="shared" si="3"/>
        <v>0.24586406250000004</v>
      </c>
      <c r="H69">
        <f t="shared" si="4"/>
        <v>0.5543389456520863</v>
      </c>
      <c r="I69">
        <f t="shared" si="5"/>
        <v>-2.2145887160501629E-2</v>
      </c>
      <c r="J69">
        <f t="shared" si="6"/>
        <v>-0.57648483281258789</v>
      </c>
      <c r="K69">
        <f t="shared" si="7"/>
        <v>0.71785624061393594</v>
      </c>
      <c r="L69">
        <f t="shared" si="8"/>
        <v>0.50883420861074136</v>
      </c>
      <c r="M69">
        <f t="shared" si="9"/>
        <v>0.86270309712496962</v>
      </c>
      <c r="N69">
        <f t="shared" si="10"/>
        <v>0.27888339292231651</v>
      </c>
      <c r="O69">
        <f t="shared" si="11"/>
        <v>2788.8339292231649</v>
      </c>
      <c r="P69">
        <f t="shared" si="12"/>
        <v>0.79986260058773595</v>
      </c>
      <c r="Q69">
        <f t="shared" si="13"/>
        <v>0.79621196747751777</v>
      </c>
      <c r="R69" s="4">
        <f t="shared" si="14"/>
        <v>3.6506331102181822E-3</v>
      </c>
      <c r="S69">
        <f t="shared" si="15"/>
        <v>10.181009480921956</v>
      </c>
    </row>
    <row r="70" spans="3:19" x14ac:dyDescent="0.35">
      <c r="C70">
        <f t="shared" si="16"/>
        <v>60</v>
      </c>
      <c r="D70">
        <f t="shared" si="0"/>
        <v>5</v>
      </c>
      <c r="E70">
        <f t="shared" si="1"/>
        <v>4.916666666666667</v>
      </c>
      <c r="F70">
        <f t="shared" si="2"/>
        <v>-0.26251565109059222</v>
      </c>
      <c r="G70">
        <f t="shared" si="3"/>
        <v>0.25003125000000004</v>
      </c>
      <c r="H70">
        <f t="shared" si="4"/>
        <v>0.55901699437494745</v>
      </c>
      <c r="I70">
        <f t="shared" si="5"/>
        <v>-2.2332775597549297E-2</v>
      </c>
      <c r="J70">
        <f t="shared" si="6"/>
        <v>-0.58134976997249677</v>
      </c>
      <c r="K70">
        <f t="shared" si="7"/>
        <v>0.71949762822599672</v>
      </c>
      <c r="L70">
        <f t="shared" si="8"/>
        <v>0.50890874787450247</v>
      </c>
      <c r="M70">
        <f t="shared" si="9"/>
        <v>0.8605463393821573</v>
      </c>
      <c r="N70">
        <f t="shared" si="10"/>
        <v>0.28155806816303641</v>
      </c>
      <c r="O70">
        <f t="shared" si="11"/>
        <v>2815.5806816303643</v>
      </c>
      <c r="P70">
        <f t="shared" si="12"/>
        <v>0.79621196747751777</v>
      </c>
      <c r="Q70">
        <f t="shared" si="13"/>
        <v>0.79255611950266247</v>
      </c>
      <c r="R70" s="4">
        <f t="shared" si="14"/>
        <v>3.6558479748552974E-3</v>
      </c>
      <c r="S70">
        <f t="shared" si="15"/>
        <v>10.293334932980065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Chidzalo</dc:creator>
  <cp:lastModifiedBy>Patrick Chidzalo</cp:lastModifiedBy>
  <dcterms:created xsi:type="dcterms:W3CDTF">2025-12-29T05:16:55Z</dcterms:created>
  <dcterms:modified xsi:type="dcterms:W3CDTF">2025-12-29T07:58:26Z</dcterms:modified>
</cp:coreProperties>
</file>